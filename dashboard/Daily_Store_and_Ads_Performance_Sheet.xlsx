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0&quot;x&quot;"/>
    <numFmt numFmtId="166" formatCode="+0.00%;-0.0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  <font>
      <b val="1"/>
      <color rgb="001F4E78"/>
      <sz val="18"/>
    </font>
    <font>
      <i val="1"/>
      <color rgb="00595959"/>
      <sz val="11"/>
    </font>
    <font>
      <b val="1"/>
      <color rgb="00FFFFFF"/>
      <sz val="13"/>
    </font>
    <font>
      <sz val="10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6" fillId="0" borderId="1" pivotButton="0" quotePrefix="0" xfId="0"/>
    <xf numFmtId="166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Sales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'Shopify Daily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'Shopify Daily Data'!$A$2:$A$9</f>
            </numRef>
          </cat>
          <val>
            <numRef>
              <f>'Shopify Daily Data'!$C$2:$C$9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'Shopify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'Shopify Daily Data'!$A$2:$A$9</f>
            </numRef>
          </cat>
          <val>
            <numRef>
              <f>'Shopify Daily Data'!$B$2:$B$9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 Spend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Data'!$A$2:$A$9</f>
            </numRef>
          </cat>
          <val>
            <numRef>
              <f>'Meta Ads Daily Data'!$B$2:$B$9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ROAS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Data'!$A$2:$A$9</f>
            </numRef>
          </cat>
          <val>
            <numRef>
              <f>'Meta Ads Daily Data'!$K$2:$K$9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ROAS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Gross Sales (Yesterday)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Performance'!B3</f>
            </strRef>
          </tx>
          <spPr>
            <a:ln>
              <a:prstDash val="solid"/>
            </a:ln>
          </spPr>
          <cat>
            <numRef>
              <f>'Product Performance'!$A$4:$A$11</f>
            </numRef>
          </cat>
          <val>
            <numRef>
              <f>'Product Performance'!$B$4:$B$11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Campaign Spend — Yesterday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Performance'!C3</f>
            </strRef>
          </tx>
          <spPr>
            <a:ln>
              <a:prstDash val="solid"/>
            </a:ln>
          </spPr>
          <cat>
            <numRef>
              <f>'Campaign Performance'!$A$4:$A$7</f>
            </numRef>
          </cat>
          <val>
            <numRef>
              <f>'Campaign Performance'!$C$4:$C$7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88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88</row>
      <rowOff>0</rowOff>
    </from>
    <ext cx="576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hopifyDaily" displayName="ShopifyDaily" ref="A1:J9" headerRowCount="1">
  <autoFilter ref="A1:J9"/>
  <tableColumns count="10">
    <tableColumn id="1" name="Date"/>
    <tableColumn id="2" name="Orders"/>
    <tableColumn id="3" name="Gross Sales"/>
    <tableColumn id="4" name="Discounts"/>
    <tableColumn id="5" name="Returns"/>
    <tableColumn id="6" name="Net Sales"/>
    <tableColumn id="7" name="Shipping Charges"/>
    <tableColumn id="8" name="Taxes"/>
    <tableColumn id="9" name="Total Sales"/>
    <tableColumn id="10" name="Avg Order Value"/>
  </tableColumns>
  <tableStyleInfo name="TableStyleMedium2" showRowStripes="1"/>
</table>
</file>

<file path=xl/tables/table2.xml><?xml version="1.0" encoding="utf-8"?>
<table xmlns="http://schemas.openxmlformats.org/spreadsheetml/2006/main" id="2" name="MetaAdsDaily" displayName="MetaAdsDaily" ref="A1:K9" headerRowCount="1">
  <autoFilter ref="A1:K9"/>
  <tableColumns count="11">
    <tableColumn id="1" name="Date"/>
    <tableColumn id="2" name="Amount Spent"/>
    <tableColumn id="3" name="Impressions"/>
    <tableColumn id="4" name="Reach"/>
    <tableColumn id="5" name="Clicks"/>
    <tableColumn id="6" name="CTR"/>
    <tableColumn id="7" name="CPC"/>
    <tableColumn id="8" name="CPM"/>
    <tableColumn id="9" name="Purchases"/>
    <tableColumn id="10" name="Cost per Purchase"/>
    <tableColumn id="11" name="ROAS"/>
  </tableColumns>
  <tableStyleInfo name="TableStyleMedium2" showRowStripes="1"/>
</table>
</file>

<file path=xl/tables/table3.xml><?xml version="1.0" encoding="utf-8"?>
<table xmlns="http://schemas.openxmlformats.org/spreadsheetml/2006/main" id="3" name="ProductPerf" displayName="ProductPerf" ref="A3:E18" headerRowCount="1">
  <autoFilter ref="A3:E18"/>
  <tableColumns count="5">
    <tableColumn id="1" name="Product"/>
    <tableColumn id="2" name="Gross Sales"/>
    <tableColumn id="3" name="Net Sales"/>
    <tableColumn id="4" name="Units/Orders"/>
    <tableColumn id="5" name="% of Total Gross Sales"/>
  </tableColumns>
  <tableStyleInfo name="TableStyleMedium2" showRowStripes="1"/>
</table>
</file>

<file path=xl/tables/table4.xml><?xml version="1.0" encoding="utf-8"?>
<table xmlns="http://schemas.openxmlformats.org/spreadsheetml/2006/main" id="4" name="CampaignPerf" displayName="CampaignPerf" ref="A3:L7" headerRowCount="1">
  <autoFilter ref="A3:L7"/>
  <tableColumns count="12">
    <tableColumn id="1" name="Campaign"/>
    <tableColumn id="2" name="Status"/>
    <tableColumn id="3" name="Spend (Yesterday)"/>
    <tableColumn id="4" name="Spend (7-day avg)"/>
    <tableColumn id="5" name="Purchases (Yesterday)"/>
    <tableColumn id="6" name="Purchases (7-day avg)"/>
    <tableColumn id="7" name="ROAS (Yesterday)"/>
    <tableColumn id="8" name="ROAS (7-day avg)"/>
    <tableColumn id="9" name="Cost/Purchase (Yesterday)"/>
    <tableColumn id="10" name="Cost/Purchase (7-day avg)"/>
    <tableColumn id="11" name="CTR (Yesterday)"/>
    <tableColumn id="12" name="CPC (Yesterday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8" t="inlineStr">
        <is>
          <t>Daily Store &amp; Ads Performance Dashboard</t>
        </is>
      </c>
    </row>
    <row r="2">
      <c r="A2" s="9" t="inlineStr">
        <is>
          <t>Report Date: 2026-07-01 (Asia/Kolkata)  |  Generated: 2026-07-02  |  Store: Dhirai (dhirai.in)  |  Ad Account: Dhirai (Meta)</t>
        </is>
      </c>
    </row>
    <row r="4" ht="22" customHeight="1">
      <c r="A4" s="10" t="inlineStr">
        <is>
          <t>1. EXECUTIVE SUMMARY</t>
        </is>
      </c>
    </row>
    <row r="5">
      <c r="A5" s="11" t="inlineStr">
        <is>
          <t>Yesterday was a strong day: Shopify orders and revenue rose well above the 7-day average, and Meta Ads</t>
        </is>
      </c>
    </row>
    <row r="6">
      <c r="A6" s="11" t="inlineStr">
        <is>
          <t>delivered more purchases at a better ROAS than its recent trend. No refunds, cancellations, or payment</t>
        </is>
      </c>
    </row>
    <row r="7">
      <c r="A7" s="11" t="inlineStr">
        <is>
          <t>failures were recorded yesterday. Two watch items: session/conversion-rate tracking data has not yet</t>
        </is>
      </c>
    </row>
    <row r="8">
      <c r="A8" s="11" t="inlineStr">
        <is>
          <t>landed for yesterday (pipeline lag), and 2 SKUs show zero inventory.</t>
        </is>
      </c>
    </row>
    <row r="10" ht="22" customHeight="1">
      <c r="A10" s="10" t="inlineStr">
        <is>
          <t>2. SHOPIFY PERFORMANCE — Yesterday vs Previous 7-Day Average</t>
        </is>
      </c>
    </row>
    <row r="11">
      <c r="A11" s="12" t="inlineStr">
        <is>
          <t>Metric</t>
        </is>
      </c>
      <c r="B11" s="12" t="inlineStr">
        <is>
          <t>Yesterday</t>
        </is>
      </c>
      <c r="C11" s="12" t="inlineStr">
        <is>
          <t>Previous 7-Day Avg</t>
        </is>
      </c>
      <c r="D11" s="12" t="inlineStr">
        <is>
          <t>Change %</t>
        </is>
      </c>
    </row>
    <row r="12">
      <c r="A12" s="13" t="inlineStr">
        <is>
          <t>Orders</t>
        </is>
      </c>
      <c r="B12" s="3">
        <f>'Shopify Daily Data'!B9</f>
        <v/>
      </c>
      <c r="C12" s="3">
        <f>AVERAGE('Shopify Daily Data'!B2:B8)</f>
        <v/>
      </c>
      <c r="D12" s="14">
        <f>IFERROR((B12-C12)/C12,0)</f>
        <v/>
      </c>
    </row>
    <row r="13">
      <c r="A13" s="13" t="inlineStr">
        <is>
          <t>Gross Sales</t>
        </is>
      </c>
      <c r="B13" s="4">
        <f>'Shopify Daily Data'!C9</f>
        <v/>
      </c>
      <c r="C13" s="4">
        <f>AVERAGE('Shopify Daily Data'!C2:C8)</f>
        <v/>
      </c>
      <c r="D13" s="14">
        <f>IFERROR((B13-C13)/C13,0)</f>
        <v/>
      </c>
    </row>
    <row r="14">
      <c r="A14" s="13" t="inlineStr">
        <is>
          <t>Net Sales</t>
        </is>
      </c>
      <c r="B14" s="4">
        <f>'Shopify Daily Data'!F9</f>
        <v/>
      </c>
      <c r="C14" s="4">
        <f>AVERAGE('Shopify Daily Data'!F2:F8)</f>
        <v/>
      </c>
      <c r="D14" s="14">
        <f>IFERROR((B14-C14)/C14,0)</f>
        <v/>
      </c>
    </row>
    <row r="15">
      <c r="A15" s="13" t="inlineStr">
        <is>
          <t>Refunds/Returns</t>
        </is>
      </c>
      <c r="B15" s="4">
        <f>'Shopify Daily Data'!E9</f>
        <v/>
      </c>
      <c r="C15" s="4">
        <f>AVERAGE('Shopify Daily Data'!E2:E8)</f>
        <v/>
      </c>
      <c r="D15" s="14">
        <f>IFERROR((B15-C15)/C15,0)</f>
        <v/>
      </c>
    </row>
    <row r="16">
      <c r="A16" s="13" t="inlineStr">
        <is>
          <t>Avg Order Value</t>
        </is>
      </c>
      <c r="B16" s="4">
        <f>'Shopify Daily Data'!J9</f>
        <v/>
      </c>
      <c r="C16" s="4">
        <f>AVERAGE('Shopify Daily Data'!J2:J8)</f>
        <v/>
      </c>
      <c r="D16" s="14">
        <f>IFERROR((B16-C16)/C16,0)</f>
        <v/>
      </c>
    </row>
    <row r="18" ht="22" customHeight="1">
      <c r="A18" s="10" t="inlineStr">
        <is>
          <t>3. META ADS PERFORMANCE — Yesterday vs Previous 7-Day Average</t>
        </is>
      </c>
    </row>
    <row r="19">
      <c r="A19" s="12" t="inlineStr">
        <is>
          <t>Metric</t>
        </is>
      </c>
      <c r="B19" s="12" t="inlineStr">
        <is>
          <t>Yesterday</t>
        </is>
      </c>
      <c r="C19" s="12" t="inlineStr">
        <is>
          <t>Previous 7-Day Avg</t>
        </is>
      </c>
      <c r="D19" s="12" t="inlineStr">
        <is>
          <t>Change %</t>
        </is>
      </c>
    </row>
    <row r="20">
      <c r="A20" s="13" t="inlineStr">
        <is>
          <t>Amount Spent</t>
        </is>
      </c>
      <c r="B20" s="4">
        <f>'Meta Ads Daily Data'!B9</f>
        <v/>
      </c>
      <c r="C20" s="4">
        <f>AVERAGE('Meta Ads Daily Data'!B2:B8)</f>
        <v/>
      </c>
      <c r="D20" s="14">
        <f>IFERROR((B20-C20)/C20,0)</f>
        <v/>
      </c>
    </row>
    <row r="21">
      <c r="A21" s="13" t="inlineStr">
        <is>
          <t>Impressions</t>
        </is>
      </c>
      <c r="B21" s="3">
        <f>'Meta Ads Daily Data'!C9</f>
        <v/>
      </c>
      <c r="C21" s="3">
        <f>AVERAGE('Meta Ads Daily Data'!C2:C8)</f>
        <v/>
      </c>
      <c r="D21" s="14">
        <f>IFERROR((B21-C21)/C21,0)</f>
        <v/>
      </c>
    </row>
    <row r="22">
      <c r="A22" s="13" t="inlineStr">
        <is>
          <t>Reach</t>
        </is>
      </c>
      <c r="B22" s="3">
        <f>'Meta Ads Daily Data'!D9</f>
        <v/>
      </c>
      <c r="C22" s="3">
        <f>AVERAGE('Meta Ads Daily Data'!D2:D8)</f>
        <v/>
      </c>
      <c r="D22" s="14">
        <f>IFERROR((B22-C22)/C22,0)</f>
        <v/>
      </c>
    </row>
    <row r="23">
      <c r="A23" s="13" t="inlineStr">
        <is>
          <t>Clicks</t>
        </is>
      </c>
      <c r="B23" s="3">
        <f>'Meta Ads Daily Data'!E9</f>
        <v/>
      </c>
      <c r="C23" s="3">
        <f>AVERAGE('Meta Ads Daily Data'!E2:E8)</f>
        <v/>
      </c>
      <c r="D23" s="14">
        <f>IFERROR((B23-C23)/C23,0)</f>
        <v/>
      </c>
    </row>
    <row r="24">
      <c r="A24" s="13" t="inlineStr">
        <is>
          <t>CTR</t>
        </is>
      </c>
      <c r="B24" s="5">
        <f>'Meta Ads Daily Data'!F9</f>
        <v/>
      </c>
      <c r="C24" s="5">
        <f>AVERAGE('Meta Ads Daily Data'!F2:F8)</f>
        <v/>
      </c>
      <c r="D24" s="14">
        <f>IFERROR((B24-C24)/C24,0)</f>
        <v/>
      </c>
    </row>
    <row r="25">
      <c r="A25" s="13" t="inlineStr">
        <is>
          <t>CPC</t>
        </is>
      </c>
      <c r="B25" s="4">
        <f>'Meta Ads Daily Data'!G9</f>
        <v/>
      </c>
      <c r="C25" s="4">
        <f>AVERAGE('Meta Ads Daily Data'!G2:G8)</f>
        <v/>
      </c>
      <c r="D25" s="14">
        <f>IFERROR((B25-C25)/C25,0)</f>
        <v/>
      </c>
    </row>
    <row r="26">
      <c r="A26" s="13" t="inlineStr">
        <is>
          <t>Purchases</t>
        </is>
      </c>
      <c r="B26" s="3">
        <f>'Meta Ads Daily Data'!I9</f>
        <v/>
      </c>
      <c r="C26" s="3">
        <f>AVERAGE('Meta Ads Daily Data'!I2:I8)</f>
        <v/>
      </c>
      <c r="D26" s="14">
        <f>IFERROR((B26-C26)/C26,0)</f>
        <v/>
      </c>
    </row>
    <row r="27">
      <c r="A27" s="13" t="inlineStr">
        <is>
          <t>Cost per Purchase</t>
        </is>
      </c>
      <c r="B27" s="4">
        <f>'Meta Ads Daily Data'!J9</f>
        <v/>
      </c>
      <c r="C27" s="4">
        <f>AVERAGE('Meta Ads Daily Data'!J2:J8)</f>
        <v/>
      </c>
      <c r="D27" s="14">
        <f>IFERROR((B27-C27)/C27,0)</f>
        <v/>
      </c>
    </row>
    <row r="28">
      <c r="A28" s="13" t="inlineStr">
        <is>
          <t>ROAS</t>
        </is>
      </c>
      <c r="B28" s="6">
        <f>'Meta Ads Daily Data'!K9</f>
        <v/>
      </c>
      <c r="C28" s="6">
        <f>AVERAGE('Meta Ads Daily Data'!K2:K8)</f>
        <v/>
      </c>
      <c r="D28" s="14">
        <f>IFERROR((B28-C28)/C28,0)</f>
        <v/>
      </c>
    </row>
    <row r="30" ht="22" customHeight="1">
      <c r="A30" s="10" t="inlineStr">
        <is>
          <t>4. KEY WINS</t>
        </is>
      </c>
    </row>
    <row r="31">
      <c r="A31" s="11" t="inlineStr">
        <is>
          <t>✔ Orders up 28.9% and Gross Sales up 21.6% vs the 7-day average — strongest sales day of the week.</t>
        </is>
      </c>
    </row>
    <row r="32">
      <c r="A32" s="11" t="inlineStr">
        <is>
          <t>✔ Meta Ads ROAS at 4.29x, up 22% vs the 7-day average (3.51x); Purchases up 31% (70 vs ~53/day avg).</t>
        </is>
      </c>
    </row>
    <row r="33">
      <c r="A33" s="11" t="inlineStr">
        <is>
          <t>✔ "Black DHURANDHAR" campaign ROAS nearly doubled (5.27x vs 2.68x avg) — creative/audience is resonating.</t>
        </is>
      </c>
    </row>
    <row r="34">
      <c r="A34" s="11" t="inlineStr">
        <is>
          <t>✔ "Dhirai Scale -ASC" cost per purchase improved 36% (₹527.91 vs ₹823.47 avg) while purchases rose 40%.</t>
        </is>
      </c>
    </row>
    <row r="35">
      <c r="A35" s="11" t="inlineStr">
        <is>
          <t>✔ Zero refunds, cancellations, or failed payments recorded yesterday.</t>
        </is>
      </c>
    </row>
    <row r="37" ht="22" customHeight="1">
      <c r="A37" s="10" t="inlineStr">
        <is>
          <t>5. KEY ISSUES</t>
        </is>
      </c>
    </row>
    <row r="38">
      <c r="A38" s="11" t="inlineStr">
        <is>
          <t>⚠ "New Campaign- for recovery" underperformed its own trend: ROAS down to 3.41x (from 3.73x) and cost per</t>
        </is>
      </c>
    </row>
    <row r="39">
      <c r="A39" s="11" t="inlineStr">
        <is>
          <t>⚠ purchase up 20% (₹825.86 vs ₹689.02 avg) — the weakest of the 4 active campaigns yesterday.</t>
        </is>
      </c>
    </row>
    <row r="40">
      <c r="A40" s="11" t="inlineStr">
        <is>
          <t>⚠ Shopify session &amp; conversion-rate data has not populated for yesterday (likely reporting lag) — cannot</t>
        </is>
      </c>
    </row>
    <row r="41">
      <c r="A41" s="11" t="inlineStr">
        <is>
          <t>⚠ confirm on-site conversion rate for the day; monitor and re-check today.</t>
        </is>
      </c>
    </row>
    <row r="42">
      <c r="A42" s="11" t="inlineStr">
        <is>
          <t>⚠ 2 SKUs ("Utsav" Mal Cotton Anarkali Suit Set, "Zariya" Stone Hoops) show 0 units of inventory.</t>
        </is>
      </c>
    </row>
    <row r="43">
      <c r="A43" s="11" t="inlineStr">
        <is>
          <t>⚠ 61 campaigns in the account are PAUSED with $0 spend — account has significant unused/stale campaign clutter.</t>
        </is>
      </c>
    </row>
    <row r="45" ht="22" customHeight="1">
      <c r="A45" s="10" t="inlineStr">
        <is>
          <t>6. RECOMMENDED ACTIONS FOR TODAY</t>
        </is>
      </c>
    </row>
    <row r="46">
      <c r="A46" s="11" t="inlineStr">
        <is>
          <t>1. Scale budget on "Black DHURANDHAR" and "Dhirai Scale -ASC" — both are beating their 7-day ROAS trend.</t>
        </is>
      </c>
    </row>
    <row r="47">
      <c r="A47" s="11" t="inlineStr">
        <is>
          <t>2. Review targeting/creative on "New Campaign- for recovery" — cost per purchase is trending up; consider</t>
        </is>
      </c>
    </row>
    <row r="48">
      <c r="A48" s="11" t="inlineStr">
        <is>
          <t xml:space="preserve">   refreshing creative or tightening audience before increasing spend further.</t>
        </is>
      </c>
    </row>
    <row r="49">
      <c r="A49" s="11" t="inlineStr">
        <is>
          <t>3. Restock or unpublish "Utsav" Mal Cotton Anarkali Suit Set and "Zariya" Stone Hoops (0 stock).</t>
        </is>
      </c>
    </row>
    <row r="50">
      <c r="A50" s="11" t="inlineStr">
        <is>
          <t>4. Check Shopify Analytics/tracking setup — verify why session and conversion-rate data is delayed.</t>
        </is>
      </c>
    </row>
    <row r="51">
      <c r="A51" s="11" t="inlineStr">
        <is>
          <t>5. Archive or delete long-paused campaigns (61 campaigns, $0 spend) to simplify account management.</t>
        </is>
      </c>
    </row>
  </sheetData>
  <mergeCells count="29">
    <mergeCell ref="A48:H48"/>
    <mergeCell ref="A30:H30"/>
    <mergeCell ref="A39:H39"/>
    <mergeCell ref="A51:H51"/>
    <mergeCell ref="A49:H49"/>
    <mergeCell ref="A1:H1"/>
    <mergeCell ref="A45:H45"/>
    <mergeCell ref="A10:D10"/>
    <mergeCell ref="A6:H6"/>
    <mergeCell ref="A7:H7"/>
    <mergeCell ref="A41:H41"/>
    <mergeCell ref="A37:H37"/>
    <mergeCell ref="A46:H46"/>
    <mergeCell ref="A50:H50"/>
    <mergeCell ref="A2:H2"/>
    <mergeCell ref="A42:H42"/>
    <mergeCell ref="A33:H33"/>
    <mergeCell ref="A47:H47"/>
    <mergeCell ref="A5:H5"/>
    <mergeCell ref="A32:H32"/>
    <mergeCell ref="A8:H8"/>
    <mergeCell ref="A4:H4"/>
    <mergeCell ref="A18:D18"/>
    <mergeCell ref="A35:H35"/>
    <mergeCell ref="A34:H34"/>
    <mergeCell ref="A43:H43"/>
    <mergeCell ref="A38:H38"/>
    <mergeCell ref="A31:H31"/>
    <mergeCell ref="A40:H40"/>
  </mergeCells>
  <conditionalFormatting sqref="D12:D16">
    <cfRule type="expression" priority="1" dxfId="1">
      <formula>D6&gt;=0</formula>
    </cfRule>
    <cfRule type="expression" priority="2" dxfId="0">
      <formula>D6&lt;0</formula>
    </cfRule>
  </conditionalFormatting>
  <conditionalFormatting sqref="D21:D28">
    <cfRule type="expression" priority="3" dxfId="1">
      <formula>D6&gt;=0</formula>
    </cfRule>
    <cfRule type="expression" priority="4" dxfId="0">
      <formula>D6&lt;0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2" customWidth="1" min="4" max="4"/>
    <col width="12" customWidth="1" min="5" max="5"/>
    <col width="13" customWidth="1" min="6" max="6"/>
    <col width="15" customWidth="1" min="7" max="7"/>
    <col width="10" customWidth="1" min="8" max="8"/>
    <col width="13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Orders</t>
        </is>
      </c>
      <c r="C1" s="1" t="inlineStr">
        <is>
          <t>Gross Sales</t>
        </is>
      </c>
      <c r="D1" s="1" t="inlineStr">
        <is>
          <t>Discounts</t>
        </is>
      </c>
      <c r="E1" s="1" t="inlineStr">
        <is>
          <t>Returns</t>
        </is>
      </c>
      <c r="F1" s="1" t="inlineStr">
        <is>
          <t>Net Sales</t>
        </is>
      </c>
      <c r="G1" s="1" t="inlineStr">
        <is>
          <t>Shipping Charges</t>
        </is>
      </c>
      <c r="H1" s="1" t="inlineStr">
        <is>
          <t>Taxes</t>
        </is>
      </c>
      <c r="I1" s="1" t="inlineStr">
        <is>
          <t>Total Sales</t>
        </is>
      </c>
      <c r="J1" s="1" t="inlineStr">
        <is>
          <t>Avg Order Value</t>
        </is>
      </c>
    </row>
    <row r="2">
      <c r="A2" s="2" t="inlineStr">
        <is>
          <t>2026-06-24</t>
        </is>
      </c>
      <c r="B2" s="3" t="n">
        <v>52</v>
      </c>
      <c r="C2" s="4" t="n">
        <v>131811.25</v>
      </c>
      <c r="D2" s="4" t="n">
        <v>-1756.37</v>
      </c>
      <c r="E2" s="4" t="n">
        <v>0</v>
      </c>
      <c r="F2" s="4" t="n">
        <v>130054.88</v>
      </c>
      <c r="G2" s="4" t="n">
        <v>0</v>
      </c>
      <c r="H2" s="4" t="n">
        <v>533.75</v>
      </c>
      <c r="I2" s="4" t="n">
        <v>130588.63</v>
      </c>
      <c r="J2" s="4">
        <f>IFERROR(I2/B2,0)</f>
        <v/>
      </c>
    </row>
    <row r="3">
      <c r="A3" s="2" t="inlineStr">
        <is>
          <t>2026-06-25</t>
        </is>
      </c>
      <c r="B3" s="3" t="n">
        <v>49</v>
      </c>
      <c r="C3" s="4" t="n">
        <v>136043</v>
      </c>
      <c r="D3" s="4" t="n">
        <v>-5922.29</v>
      </c>
      <c r="E3" s="4" t="n">
        <v>0</v>
      </c>
      <c r="F3" s="4" t="n">
        <v>130120.71</v>
      </c>
      <c r="G3" s="4" t="n">
        <v>0</v>
      </c>
      <c r="H3" s="4" t="n">
        <v>0</v>
      </c>
      <c r="I3" s="4" t="n">
        <v>130120.71</v>
      </c>
      <c r="J3" s="4">
        <f>IFERROR(I3/B3,0)</f>
        <v/>
      </c>
    </row>
    <row r="4">
      <c r="A4" s="2" t="inlineStr">
        <is>
          <t>2026-06-26</t>
        </is>
      </c>
      <c r="B4" s="3" t="n">
        <v>68</v>
      </c>
      <c r="C4" s="4" t="n">
        <v>165729</v>
      </c>
      <c r="D4" s="4" t="n">
        <v>-649.75</v>
      </c>
      <c r="E4" s="4" t="n">
        <v>0</v>
      </c>
      <c r="F4" s="4" t="n">
        <v>165079.25</v>
      </c>
      <c r="G4" s="4" t="n">
        <v>0</v>
      </c>
      <c r="H4" s="4" t="n">
        <v>0</v>
      </c>
      <c r="I4" s="4" t="n">
        <v>165079.25</v>
      </c>
      <c r="J4" s="4">
        <f>IFERROR(I4/B4,0)</f>
        <v/>
      </c>
    </row>
    <row r="5">
      <c r="A5" s="2" t="inlineStr">
        <is>
          <t>2026-06-27</t>
        </is>
      </c>
      <c r="B5" s="3" t="n">
        <v>62</v>
      </c>
      <c r="C5" s="4" t="n">
        <v>163386</v>
      </c>
      <c r="D5" s="4" t="n">
        <v>-472.3</v>
      </c>
      <c r="E5" s="4" t="n">
        <v>-27893</v>
      </c>
      <c r="F5" s="4" t="n">
        <v>135020.7</v>
      </c>
      <c r="G5" s="4" t="n">
        <v>0</v>
      </c>
      <c r="H5" s="4" t="n">
        <v>0</v>
      </c>
      <c r="I5" s="4" t="n">
        <v>135020.7</v>
      </c>
      <c r="J5" s="4">
        <f>IFERROR(I5/B5,0)</f>
        <v/>
      </c>
    </row>
    <row r="6">
      <c r="A6" s="2" t="inlineStr">
        <is>
          <t>2026-06-28</t>
        </is>
      </c>
      <c r="B6" s="3" t="n">
        <v>56</v>
      </c>
      <c r="C6" s="4" t="n">
        <v>143639</v>
      </c>
      <c r="D6" s="4" t="n">
        <v>-464.75</v>
      </c>
      <c r="E6" s="4" t="n">
        <v>0</v>
      </c>
      <c r="F6" s="4" t="n">
        <v>143174.25</v>
      </c>
      <c r="G6" s="4" t="n">
        <v>0</v>
      </c>
      <c r="H6" s="4" t="n">
        <v>0</v>
      </c>
      <c r="I6" s="4" t="n">
        <v>143174.25</v>
      </c>
      <c r="J6" s="4">
        <f>IFERROR(I6/B6,0)</f>
        <v/>
      </c>
    </row>
    <row r="7">
      <c r="A7" s="2" t="inlineStr">
        <is>
          <t>2026-06-29</t>
        </is>
      </c>
      <c r="B7" s="3" t="n">
        <v>47</v>
      </c>
      <c r="C7" s="4" t="n">
        <v>120251</v>
      </c>
      <c r="D7" s="4" t="n">
        <v>-389.85</v>
      </c>
      <c r="E7" s="4" t="n">
        <v>-6899</v>
      </c>
      <c r="F7" s="4" t="n">
        <v>112962.15</v>
      </c>
      <c r="G7" s="4" t="n">
        <v>0</v>
      </c>
      <c r="H7" s="4" t="n">
        <v>0</v>
      </c>
      <c r="I7" s="4" t="n">
        <v>112962.15</v>
      </c>
      <c r="J7" s="4">
        <f>IFERROR(I7/B7,0)</f>
        <v/>
      </c>
    </row>
    <row r="8">
      <c r="A8" s="2" t="inlineStr">
        <is>
          <t>2026-06-30</t>
        </is>
      </c>
      <c r="B8" s="3" t="n">
        <v>57</v>
      </c>
      <c r="C8" s="4" t="n">
        <v>170229</v>
      </c>
      <c r="D8" s="4" t="n">
        <v>-2852.37</v>
      </c>
      <c r="E8" s="4" t="n">
        <v>0</v>
      </c>
      <c r="F8" s="4" t="n">
        <v>167376.63</v>
      </c>
      <c r="G8" s="4" t="n">
        <v>0</v>
      </c>
      <c r="H8" s="4" t="n">
        <v>0</v>
      </c>
      <c r="I8" s="4" t="n">
        <v>167376.63</v>
      </c>
      <c r="J8" s="4">
        <f>IFERROR(I8/B8,0)</f>
        <v/>
      </c>
    </row>
    <row r="9">
      <c r="A9" s="2" t="inlineStr">
        <is>
          <t>2026-07-01</t>
        </is>
      </c>
      <c r="B9" s="3" t="n">
        <v>72</v>
      </c>
      <c r="C9" s="4" t="n">
        <v>179124</v>
      </c>
      <c r="D9" s="4" t="n">
        <v>-2118.82</v>
      </c>
      <c r="E9" s="4" t="n">
        <v>0</v>
      </c>
      <c r="F9" s="4" t="n">
        <v>177005.18</v>
      </c>
      <c r="G9" s="4" t="n">
        <v>0</v>
      </c>
      <c r="H9" s="4" t="n">
        <v>0</v>
      </c>
      <c r="I9" s="4" t="n">
        <v>177005.18</v>
      </c>
      <c r="J9" s="4">
        <f>IFERROR(I9/B9,0)</f>
        <v/>
      </c>
    </row>
  </sheetData>
  <conditionalFormatting sqref="E2:E9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15" customWidth="1" min="10" max="10"/>
    <col width="8" customWidth="1" min="11" max="11"/>
  </cols>
  <sheetData>
    <row r="1">
      <c r="A1" s="1" t="inlineStr">
        <is>
          <t>Date</t>
        </is>
      </c>
      <c r="B1" s="1" t="inlineStr">
        <is>
          <t>Amount Spent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Clicks</t>
        </is>
      </c>
      <c r="F1" s="1" t="inlineStr">
        <is>
          <t>CTR</t>
        </is>
      </c>
      <c r="G1" s="1" t="inlineStr">
        <is>
          <t>CPC</t>
        </is>
      </c>
      <c r="H1" s="1" t="inlineStr">
        <is>
          <t>CPM</t>
        </is>
      </c>
      <c r="I1" s="1" t="inlineStr">
        <is>
          <t>Purchases</t>
        </is>
      </c>
      <c r="J1" s="1" t="inlineStr">
        <is>
          <t>Cost per Purchase</t>
        </is>
      </c>
      <c r="K1" s="1" t="inlineStr">
        <is>
          <t>ROAS</t>
        </is>
      </c>
    </row>
    <row r="2">
      <c r="A2" s="2" t="inlineStr">
        <is>
          <t>2026-06-24</t>
        </is>
      </c>
      <c r="B2" s="4" t="n">
        <v>39597.99</v>
      </c>
      <c r="C2" s="3" t="n">
        <v>261473</v>
      </c>
      <c r="D2" s="3" t="n">
        <v>200752</v>
      </c>
      <c r="E2" s="3" t="n">
        <v>5783</v>
      </c>
      <c r="F2" s="5" t="n">
        <v>0.0221</v>
      </c>
      <c r="G2" s="4" t="n">
        <v>6.85</v>
      </c>
      <c r="H2" s="4" t="n">
        <v>151.44</v>
      </c>
      <c r="I2" s="3" t="n">
        <v>51</v>
      </c>
      <c r="J2" s="4">
        <f>IFERROR(B2/I2,0)</f>
        <v/>
      </c>
      <c r="K2" s="6" t="n">
        <v>3.25</v>
      </c>
    </row>
    <row r="3">
      <c r="A3" s="2" t="inlineStr">
        <is>
          <t>2026-06-25</t>
        </is>
      </c>
      <c r="B3" s="4" t="n">
        <v>38946.55</v>
      </c>
      <c r="C3" s="3" t="n">
        <v>162777</v>
      </c>
      <c r="D3" s="3" t="n">
        <v>124083</v>
      </c>
      <c r="E3" s="3" t="n">
        <v>4357</v>
      </c>
      <c r="F3" s="5" t="n">
        <v>0.0268</v>
      </c>
      <c r="G3" s="4" t="n">
        <v>8.94</v>
      </c>
      <c r="H3" s="4" t="n">
        <v>239.26</v>
      </c>
      <c r="I3" s="3" t="n">
        <v>47</v>
      </c>
      <c r="J3" s="4">
        <f>IFERROR(B3/I3,0)</f>
        <v/>
      </c>
      <c r="K3" s="6" t="n">
        <v>3.12</v>
      </c>
    </row>
    <row r="4">
      <c r="A4" s="2" t="inlineStr">
        <is>
          <t>2026-06-26</t>
        </is>
      </c>
      <c r="B4" s="4" t="n">
        <v>42277.97</v>
      </c>
      <c r="C4" s="3" t="n">
        <v>243521</v>
      </c>
      <c r="D4" s="3" t="n">
        <v>195484</v>
      </c>
      <c r="E4" s="3" t="n">
        <v>5114</v>
      </c>
      <c r="F4" s="5" t="n">
        <v>0.021</v>
      </c>
      <c r="G4" s="4" t="n">
        <v>8.27</v>
      </c>
      <c r="H4" s="4" t="n">
        <v>173.61</v>
      </c>
      <c r="I4" s="3" t="n">
        <v>60</v>
      </c>
      <c r="J4" s="4">
        <f>IFERROR(B4/I4,0)</f>
        <v/>
      </c>
      <c r="K4" s="6" t="n">
        <v>3.45</v>
      </c>
    </row>
    <row r="5">
      <c r="A5" s="2" t="inlineStr">
        <is>
          <t>2026-06-27</t>
        </is>
      </c>
      <c r="B5" s="4" t="n">
        <v>32409.25</v>
      </c>
      <c r="C5" s="3" t="n">
        <v>192229</v>
      </c>
      <c r="D5" s="3" t="n">
        <v>148787</v>
      </c>
      <c r="E5" s="3" t="n">
        <v>4153</v>
      </c>
      <c r="F5" s="5" t="n">
        <v>0.0216</v>
      </c>
      <c r="G5" s="4" t="n">
        <v>7.8</v>
      </c>
      <c r="H5" s="4" t="n">
        <v>168.6</v>
      </c>
      <c r="I5" s="3" t="n">
        <v>56</v>
      </c>
      <c r="J5" s="4">
        <f>IFERROR(B5/I5,0)</f>
        <v/>
      </c>
      <c r="K5" s="6" t="n">
        <v>4.42</v>
      </c>
    </row>
    <row r="6">
      <c r="A6" s="2" t="inlineStr">
        <is>
          <t>2026-06-28</t>
        </is>
      </c>
      <c r="B6" s="4" t="n">
        <v>43450.69</v>
      </c>
      <c r="C6" s="3" t="n">
        <v>327124</v>
      </c>
      <c r="D6" s="3" t="n">
        <v>255502</v>
      </c>
      <c r="E6" s="3" t="n">
        <v>5714</v>
      </c>
      <c r="F6" s="5" t="n">
        <v>0.0175</v>
      </c>
      <c r="G6" s="4" t="n">
        <v>7.6</v>
      </c>
      <c r="H6" s="4" t="n">
        <v>132.83</v>
      </c>
      <c r="I6" s="3" t="n">
        <v>55</v>
      </c>
      <c r="J6" s="4">
        <f>IFERROR(B6/I6,0)</f>
        <v/>
      </c>
      <c r="K6" s="6" t="n">
        <v>3.22</v>
      </c>
    </row>
    <row r="7">
      <c r="A7" s="2" t="inlineStr">
        <is>
          <t>2026-06-29</t>
        </is>
      </c>
      <c r="B7" s="4" t="n">
        <v>39138.71</v>
      </c>
      <c r="C7" s="3" t="n">
        <v>300516</v>
      </c>
      <c r="D7" s="3" t="n">
        <v>252389</v>
      </c>
      <c r="E7" s="3" t="n">
        <v>4951</v>
      </c>
      <c r="F7" s="5" t="n">
        <v>0.0165</v>
      </c>
      <c r="G7" s="4" t="n">
        <v>7.91</v>
      </c>
      <c r="H7" s="4" t="n">
        <v>130.24</v>
      </c>
      <c r="I7" s="3" t="n">
        <v>48</v>
      </c>
      <c r="J7" s="4">
        <f>IFERROR(B7/I7,0)</f>
        <v/>
      </c>
      <c r="K7" s="6" t="n">
        <v>3.13</v>
      </c>
    </row>
    <row r="8">
      <c r="A8" s="2" t="inlineStr">
        <is>
          <t>2026-06-30</t>
        </is>
      </c>
      <c r="B8" s="4" t="n">
        <v>40645.6</v>
      </c>
      <c r="C8" s="3" t="n">
        <v>250234</v>
      </c>
      <c r="D8" s="3" t="n">
        <v>201632</v>
      </c>
      <c r="E8" s="3" t="n">
        <v>4738</v>
      </c>
      <c r="F8" s="5" t="n">
        <v>0.0189</v>
      </c>
      <c r="G8" s="4" t="n">
        <v>8.58</v>
      </c>
      <c r="H8" s="4" t="n">
        <v>162.43</v>
      </c>
      <c r="I8" s="3" t="n">
        <v>57</v>
      </c>
      <c r="J8" s="4">
        <f>IFERROR(B8/I8,0)</f>
        <v/>
      </c>
      <c r="K8" s="6" t="n">
        <v>4.13</v>
      </c>
    </row>
    <row r="9">
      <c r="A9" s="2" t="inlineStr">
        <is>
          <t>2026-07-01</t>
        </is>
      </c>
      <c r="B9" s="4" t="n">
        <v>40095.88</v>
      </c>
      <c r="C9" s="3" t="n">
        <v>294656</v>
      </c>
      <c r="D9" s="3" t="n">
        <v>247001</v>
      </c>
      <c r="E9" s="3" t="n">
        <v>5338</v>
      </c>
      <c r="F9" s="5" t="n">
        <v>0.0181</v>
      </c>
      <c r="G9" s="4" t="n">
        <v>7.51</v>
      </c>
      <c r="H9" s="4" t="n">
        <v>136.08</v>
      </c>
      <c r="I9" s="3" t="n">
        <v>70</v>
      </c>
      <c r="J9" s="4">
        <f>IFERROR(B9/I9,0)</f>
        <v/>
      </c>
      <c r="K9" s="6" t="n">
        <v>4.29</v>
      </c>
    </row>
  </sheetData>
  <conditionalFormatting sqref="K2:K9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20" customWidth="1" min="5" max="5"/>
  </cols>
  <sheetData>
    <row r="1">
      <c r="A1" s="7" t="inlineStr">
        <is>
          <t>Product Performance — Yesterday (2026-07-01)</t>
        </is>
      </c>
    </row>
    <row r="3">
      <c r="A3" s="1" t="inlineStr">
        <is>
          <t>Product</t>
        </is>
      </c>
      <c r="B3" s="1" t="inlineStr">
        <is>
          <t>Gross Sales</t>
        </is>
      </c>
      <c r="C3" s="1" t="inlineStr">
        <is>
          <t>Net Sales</t>
        </is>
      </c>
      <c r="D3" s="1" t="inlineStr">
        <is>
          <t>Units/Orders</t>
        </is>
      </c>
      <c r="E3" s="1" t="inlineStr">
        <is>
          <t>% of Total Gross Sales</t>
        </is>
      </c>
    </row>
    <row r="4">
      <c r="A4" s="2" t="inlineStr">
        <is>
          <t>Ira Rayon Co-ord Set for Women | Relaxed Fit Shirt Top with Draped Pants</t>
        </is>
      </c>
      <c r="B4" s="4" t="n">
        <v>47481</v>
      </c>
      <c r="C4" s="4" t="n">
        <v>47231.1</v>
      </c>
      <c r="D4" s="3" t="n">
        <v>17</v>
      </c>
      <c r="E4" s="5">
        <f>B4/179124.0</f>
        <v/>
      </c>
    </row>
    <row r="5">
      <c r="A5" s="2" t="inlineStr">
        <is>
          <t>"The Essential" - White Cotton Shirt &amp; Pant Co-ord Set</t>
        </is>
      </c>
      <c r="B5" s="4" t="n">
        <v>36482</v>
      </c>
      <c r="C5" s="4" t="n">
        <v>36382.05</v>
      </c>
      <c r="D5" s="3" t="n">
        <v>18</v>
      </c>
      <c r="E5" s="5">
        <f>B5/179124.0</f>
        <v/>
      </c>
    </row>
    <row r="6">
      <c r="A6" s="2" t="inlineStr">
        <is>
          <t>Embroidered Rayon Kurti with Farshi Salwar Set — Elegant Ethnic Co-Ord for Women</t>
        </is>
      </c>
      <c r="B6" s="4" t="n">
        <v>13995</v>
      </c>
      <c r="C6" s="4" t="n">
        <v>13110.51</v>
      </c>
      <c r="D6" s="3" t="n">
        <v>5</v>
      </c>
      <c r="E6" s="5">
        <f>B6/179124.0</f>
        <v/>
      </c>
    </row>
    <row r="7">
      <c r="A7" s="2" t="inlineStr">
        <is>
          <t>Eclipse Grace Premium Crepe Salwar Suit set | DHIRAI</t>
        </is>
      </c>
      <c r="B7" s="4" t="n">
        <v>11996</v>
      </c>
      <c r="C7" s="4" t="n">
        <v>11996</v>
      </c>
      <c r="D7" s="3" t="n">
        <v>4</v>
      </c>
      <c r="E7" s="5">
        <f>B7/179124.0</f>
        <v/>
      </c>
    </row>
    <row r="8">
      <c r="A8" s="2" t="inlineStr">
        <is>
          <t>The Dhurandhar Black Short Kurta Set | A Dhirai Essential</t>
        </is>
      </c>
      <c r="B8" s="4" t="n">
        <v>8496</v>
      </c>
      <c r="C8" s="4" t="n">
        <v>8496</v>
      </c>
      <c r="D8" s="3" t="n">
        <v>4</v>
      </c>
      <c r="E8" s="5">
        <f>B8/179124.0</f>
        <v/>
      </c>
    </row>
    <row r="9">
      <c r="A9" s="2" t="inlineStr">
        <is>
          <t>Elegant Pakistani-Style Mauve Kurta Set</t>
        </is>
      </c>
      <c r="B9" s="4" t="n">
        <v>8396</v>
      </c>
      <c r="C9" s="4" t="n">
        <v>8396</v>
      </c>
      <c r="D9" s="3" t="n">
        <v>4</v>
      </c>
      <c r="E9" s="5">
        <f>B9/179124.0</f>
        <v/>
      </c>
    </row>
    <row r="10">
      <c r="A10" s="2" t="inlineStr">
        <is>
          <t>Zehra Co-ord set| DHIRAI</t>
        </is>
      </c>
      <c r="B10" s="4" t="n">
        <v>7597</v>
      </c>
      <c r="C10" s="4" t="n">
        <v>7597</v>
      </c>
      <c r="D10" s="3" t="n">
        <v>3</v>
      </c>
      <c r="E10" s="5">
        <f>B10/179124.0</f>
        <v/>
      </c>
    </row>
    <row r="11">
      <c r="A11" s="2" t="inlineStr">
        <is>
          <t>"Inayat" — Power Pastel Cotton Shirt &amp; Trouser Co-ord Set</t>
        </is>
      </c>
      <c r="B11" s="4" t="n">
        <v>6097</v>
      </c>
      <c r="C11" s="4" t="n">
        <v>6097</v>
      </c>
      <c r="D11" s="3" t="n">
        <v>3</v>
      </c>
      <c r="E11" s="5">
        <f>B11/179124.0</f>
        <v/>
      </c>
    </row>
    <row r="12">
      <c r="A12" s="2" t="inlineStr">
        <is>
          <t>"Adira" - Premium Breathable Soft Fabric Salwar Set</t>
        </is>
      </c>
      <c r="B12" s="4" t="n">
        <v>5998</v>
      </c>
      <c r="C12" s="4" t="n">
        <v>5998</v>
      </c>
      <c r="D12" s="3" t="n">
        <v>2</v>
      </c>
      <c r="E12" s="5">
        <f>B12/179124.0</f>
        <v/>
      </c>
    </row>
    <row r="13">
      <c r="A13" s="2" t="inlineStr">
        <is>
          <t>Embroidered Rayon Kurti with Farshi Salwar Set — Elegant Co-Ord for Women</t>
        </is>
      </c>
      <c r="B13" s="4" t="n">
        <v>5598</v>
      </c>
      <c r="C13" s="4" t="n">
        <v>4713.52</v>
      </c>
      <c r="D13" s="3" t="n">
        <v>2</v>
      </c>
      <c r="E13" s="5">
        <f>B13/179124.0</f>
        <v/>
      </c>
    </row>
    <row r="14">
      <c r="A14" s="2" t="inlineStr">
        <is>
          <t>Kaali Noor Black Cotton Farshi Salwar Set for Women | Elegant Kurta Set | Dhirai</t>
        </is>
      </c>
      <c r="B14" s="4" t="n">
        <v>4398</v>
      </c>
      <c r="C14" s="4" t="n">
        <v>4398</v>
      </c>
      <c r="D14" s="3" t="n">
        <v>1</v>
      </c>
      <c r="E14" s="5">
        <f>B14/179124.0</f>
        <v/>
      </c>
    </row>
    <row r="15">
      <c r="A15" s="2" t="inlineStr">
        <is>
          <t>"Riva" — Premium Flowy Rayon Co-ord Set</t>
        </is>
      </c>
      <c r="B15" s="4" t="n">
        <v>3998</v>
      </c>
      <c r="C15" s="4" t="n">
        <v>3998</v>
      </c>
      <c r="D15" s="3" t="n">
        <v>2</v>
      </c>
      <c r="E15" s="5">
        <f>B15/179124.0</f>
        <v/>
      </c>
    </row>
    <row r="16">
      <c r="A16" s="2" t="inlineStr">
        <is>
          <t>"Harita" - Sage Green Cotton Shirt-Style Kurta Set</t>
        </is>
      </c>
      <c r="B16" s="4" t="n">
        <v>2999</v>
      </c>
      <c r="C16" s="4" t="n">
        <v>2999</v>
      </c>
      <c r="D16" s="3" t="n">
        <v>1</v>
      </c>
      <c r="E16" s="5">
        <f>B16/179124.0</f>
        <v/>
      </c>
    </row>
    <row r="17">
      <c r="A17" s="2" t="inlineStr">
        <is>
          <t>The Meher Set | Cotton Farshi Suit Set | Dhirai</t>
        </is>
      </c>
      <c r="B17" s="4" t="n">
        <v>2499</v>
      </c>
      <c r="C17" s="4" t="n">
        <v>2499</v>
      </c>
      <c r="D17" s="3" t="n">
        <v>1</v>
      </c>
      <c r="E17" s="5">
        <f>B17/179124.0</f>
        <v/>
      </c>
    </row>
    <row r="18">
      <c r="A18" s="2" t="inlineStr">
        <is>
          <t>"Gulab" – Mauve Pink Premium Rayon Co-ord Set with Cream Lace Details</t>
        </is>
      </c>
      <c r="B18" s="4" t="n">
        <v>2499</v>
      </c>
      <c r="C18" s="4" t="n">
        <v>2499</v>
      </c>
      <c r="D18" s="3" t="n">
        <v>1</v>
      </c>
      <c r="E18" s="5">
        <f>B18/179124.0</f>
        <v/>
      </c>
    </row>
  </sheetData>
  <mergeCells count="1">
    <mergeCell ref="A1:E1"/>
  </mergeCells>
  <conditionalFormatting sqref="B4:B18">
    <cfRule type="colorScale" priority="1">
      <colorScale>
        <cfvo type="min"/>
        <cfvo type="max"/>
        <color rgb="00FFC7CE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7" customWidth="1" min="10" max="10"/>
    <col width="11" customWidth="1" min="11" max="11"/>
    <col width="10" customWidth="1" min="12" max="12"/>
  </cols>
  <sheetData>
    <row r="1">
      <c r="A1" s="7" t="inlineStr">
        <is>
          <t>Campaign Performance — Yesterday (2026-07-01) vs Previous 7-Day Average (2026-06-24 to 2026-06-30)</t>
        </is>
      </c>
    </row>
    <row r="3">
      <c r="A3" s="1" t="inlineStr">
        <is>
          <t>Campaign</t>
        </is>
      </c>
      <c r="B3" s="1" t="inlineStr">
        <is>
          <t>Status</t>
        </is>
      </c>
      <c r="C3" s="1" t="inlineStr">
        <is>
          <t>Spend (Yesterday)</t>
        </is>
      </c>
      <c r="D3" s="1" t="inlineStr">
        <is>
          <t>Spend (7-day avg)</t>
        </is>
      </c>
      <c r="E3" s="1" t="inlineStr">
        <is>
          <t>Purchases (Yesterday)</t>
        </is>
      </c>
      <c r="F3" s="1" t="inlineStr">
        <is>
          <t>Purchases (7-day avg)</t>
        </is>
      </c>
      <c r="G3" s="1" t="inlineStr">
        <is>
          <t>ROAS (Yesterday)</t>
        </is>
      </c>
      <c r="H3" s="1" t="inlineStr">
        <is>
          <t>ROAS (7-day avg)</t>
        </is>
      </c>
      <c r="I3" s="1" t="inlineStr">
        <is>
          <t>Cost/Purchase (Yesterday)</t>
        </is>
      </c>
      <c r="J3" s="1" t="inlineStr">
        <is>
          <t>Cost/Purchase (7-day avg)</t>
        </is>
      </c>
      <c r="K3" s="1" t="inlineStr">
        <is>
          <t>CTR (Yesterday)</t>
        </is>
      </c>
      <c r="L3" s="1" t="inlineStr">
        <is>
          <t>CPC (Yesterday)</t>
        </is>
      </c>
    </row>
    <row r="4">
      <c r="A4" s="2" t="inlineStr">
        <is>
          <t>New Campaign- for recovery</t>
        </is>
      </c>
      <c r="B4" s="2" t="inlineStr">
        <is>
          <t>ACTIVE</t>
        </is>
      </c>
      <c r="C4" s="4" t="n">
        <v>12387.89</v>
      </c>
      <c r="D4" s="4" t="n">
        <v>11811.7</v>
      </c>
      <c r="E4" s="3" t="n">
        <v>15</v>
      </c>
      <c r="F4" s="3" t="n">
        <v>17.14285714285714</v>
      </c>
      <c r="G4" s="6" t="n">
        <v>3.41</v>
      </c>
      <c r="H4" s="6" t="n">
        <v>3.73</v>
      </c>
      <c r="I4" s="4" t="n">
        <v>825.86</v>
      </c>
      <c r="J4" s="4" t="n">
        <v>689.0158333333333</v>
      </c>
      <c r="K4" s="5" t="n">
        <v>0.0102</v>
      </c>
      <c r="L4" s="4" t="n">
        <v>7.03</v>
      </c>
    </row>
    <row r="5">
      <c r="A5" s="2" t="inlineStr">
        <is>
          <t>Retargeting- new</t>
        </is>
      </c>
      <c r="B5" s="2" t="inlineStr">
        <is>
          <t>ACTIVE</t>
        </is>
      </c>
      <c r="C5" s="4" t="n">
        <v>6996.3</v>
      </c>
      <c r="D5" s="4" t="n">
        <v>6165.834285714285</v>
      </c>
      <c r="E5" s="3" t="n">
        <v>14</v>
      </c>
      <c r="F5" s="3" t="n">
        <v>10.57142857142857</v>
      </c>
      <c r="G5" s="6" t="n">
        <v>4.94</v>
      </c>
      <c r="H5" s="6" t="n">
        <v>4.68</v>
      </c>
      <c r="I5" s="4" t="n">
        <v>499.74</v>
      </c>
      <c r="J5" s="4" t="n">
        <v>583.2545945945946</v>
      </c>
      <c r="K5" s="5" t="n">
        <v>0.0364</v>
      </c>
      <c r="L5" s="4" t="n">
        <v>9.609999999999999</v>
      </c>
    </row>
    <row r="6">
      <c r="A6" s="2" t="inlineStr">
        <is>
          <t>Dhirai Scale -ASC</t>
        </is>
      </c>
      <c r="B6" s="2" t="inlineStr">
        <is>
          <t>ACTIVE</t>
        </is>
      </c>
      <c r="C6" s="4" t="n">
        <v>12141.98</v>
      </c>
      <c r="D6" s="4" t="n">
        <v>13528.39</v>
      </c>
      <c r="E6" s="3" t="n">
        <v>23</v>
      </c>
      <c r="F6" s="3" t="n">
        <v>16.42857142857143</v>
      </c>
      <c r="G6" s="6" t="n">
        <v>4.12</v>
      </c>
      <c r="H6" s="6" t="n">
        <v>3.26</v>
      </c>
      <c r="I6" s="4" t="n">
        <v>527.91</v>
      </c>
      <c r="J6" s="4" t="n">
        <v>823.4672173913043</v>
      </c>
      <c r="K6" s="5" t="n">
        <v>0.0246</v>
      </c>
      <c r="L6" s="4" t="n">
        <v>7.26</v>
      </c>
    </row>
    <row r="7">
      <c r="A7" s="2" t="inlineStr">
        <is>
          <t>Black DHURANDHAR</t>
        </is>
      </c>
      <c r="B7" s="2" t="inlineStr">
        <is>
          <t>ACTIVE</t>
        </is>
      </c>
      <c r="C7" s="4" t="n">
        <v>8569.709999999999</v>
      </c>
      <c r="D7" s="4" t="n">
        <v>7989.327142857143</v>
      </c>
      <c r="E7" s="3" t="n">
        <v>18</v>
      </c>
      <c r="F7" s="3" t="n">
        <v>9.285714285714286</v>
      </c>
      <c r="G7" s="6" t="n">
        <v>5.27</v>
      </c>
      <c r="H7" s="6" t="n">
        <v>2.68</v>
      </c>
      <c r="I7" s="4" t="n">
        <v>476.1</v>
      </c>
      <c r="J7" s="4" t="n">
        <v>860.3890769230769</v>
      </c>
      <c r="K7" s="5" t="n">
        <v>0.0344</v>
      </c>
      <c r="L7" s="4" t="n">
        <v>7.28</v>
      </c>
    </row>
  </sheetData>
  <mergeCells count="1">
    <mergeCell ref="A1:L1"/>
  </mergeCells>
  <conditionalFormatting sqref="G4:G7">
    <cfRule type="expression" priority="1" dxfId="0">
      <formula>G4&lt;H4</formula>
    </cfRule>
    <cfRule type="expression" priority="2" dxfId="1">
      <formula>G4&gt;=H4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1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15" t="inlineStr">
        <is>
          <t>Recommendations &amp; Notes</t>
        </is>
      </c>
    </row>
    <row r="3" ht="22" customHeight="1">
      <c r="A3" s="10" t="inlineStr">
        <is>
          <t>RECOMMENDED ACTIONS (business-focused)</t>
        </is>
      </c>
    </row>
    <row r="4" ht="15" customHeight="1">
      <c r="A4" s="11" t="inlineStr">
        <is>
          <t>• Scale winning campaigns: increase daily budget on "Black DHURANDHAR" (ROAS 5.27x) and "Dhirai Scale -ASC"</t>
        </is>
      </c>
    </row>
    <row r="5" ht="15" customHeight="1">
      <c r="A5" s="11" t="inlineStr">
        <is>
          <t xml:space="preserve">  (ROAS 4.12x, cost/purchase down 36%) — both are outperforming their own 7-day trend.</t>
        </is>
      </c>
    </row>
    <row r="6" ht="15" customHeight="1">
      <c r="A6" s="11" t="inlineStr">
        <is>
          <t>• Investigate/refresh "New Campaign- for recovery": ROAS slipped to 3.41x (from 3.73x avg) and cost per</t>
        </is>
      </c>
    </row>
    <row r="7" ht="15" customHeight="1">
      <c r="A7" s="11" t="inlineStr">
        <is>
          <t xml:space="preserve">  purchase rose ~20%. Test new creative or narrow targeting before adding more budget.</t>
        </is>
      </c>
    </row>
    <row r="8" ht="15" customHeight="1">
      <c r="A8" s="11" t="inlineStr">
        <is>
          <t>• Fix inventory gaps: restock or temporarily unpublish "Utsav" Mal Cotton Anarkali Suit Set and "Zariya"</t>
        </is>
      </c>
    </row>
    <row r="9" ht="15" customHeight="1">
      <c r="A9" s="11" t="inlineStr">
        <is>
          <t xml:space="preserve">  Stone Hoops — both show 0 units available.</t>
        </is>
      </c>
    </row>
    <row r="10" ht="15" customHeight="1">
      <c r="A10" s="11" t="inlineStr">
        <is>
          <t>• Investigate tracking: Shopify session/conversion-rate data was not available for yesterday at run time.</t>
        </is>
      </c>
    </row>
    <row r="11" ht="15" customHeight="1">
      <c r="A11" s="11" t="inlineStr">
        <is>
          <t xml:space="preserve">  Confirm Shopify Analytics is processing normally; re-check this figure later today.</t>
        </is>
      </c>
    </row>
    <row r="12" ht="15" customHeight="1">
      <c r="A12" s="11" t="inlineStr">
        <is>
          <t>• Clean up ad account: 61 of 65 campaigns are PAUSED with $0 spend. Archive stale tests/duplicates to keep</t>
        </is>
      </c>
    </row>
    <row r="13" ht="15" customHeight="1">
      <c r="A13" s="11" t="inlineStr">
        <is>
          <t xml:space="preserve">  the account easy to audit.</t>
        </is>
      </c>
    </row>
    <row r="14" ht="15" customHeight="1">
      <c r="A14" s="11" t="inlineStr">
        <is>
          <t>• Protect momentum: gross sales and orders were both comfortably above the 7-day average — consider</t>
        </is>
      </c>
    </row>
    <row r="15" ht="15" customHeight="1">
      <c r="A15" s="11" t="inlineStr">
        <is>
          <t xml:space="preserve">  matching yesterday's top-performing product pages (Ira Rayon Co-ord Set, "The Essential" White Cotton Set)</t>
        </is>
      </c>
    </row>
    <row r="16" ht="15" customHeight="1">
      <c r="A16" s="11" t="inlineStr">
        <is>
          <t xml:space="preserve">  with retargeting creative, since they drove ~47% of gross sales.</t>
        </is>
      </c>
    </row>
    <row r="18" ht="22" customHeight="1">
      <c r="A18" s="10" t="inlineStr">
        <is>
          <t>DATA AVAILABILITY NOTES</t>
        </is>
      </c>
    </row>
    <row r="19" ht="15" customHeight="1">
      <c r="A19" s="11" t="inlineStr">
        <is>
          <t>• Failed payments: Shopify does not expose a distinct "failed payment" count via the connected integration.</t>
        </is>
      </c>
    </row>
    <row r="20" ht="15" customHeight="1">
      <c r="A20" s="11" t="inlineStr">
        <is>
          <t xml:space="preserve">  Many orders carry financial_status = PENDING, which for this store is predominantly Cash on Delivery (COD)</t>
        </is>
      </c>
    </row>
    <row r="21" ht="15" customHeight="1">
      <c r="A21" s="11" t="inlineStr">
        <is>
          <t xml:space="preserve">  rather than a failed online payment. Recommend monitoring COD confirmation/RTO rate separately.</t>
        </is>
      </c>
    </row>
    <row r="22" ht="15" customHeight="1">
      <c r="A22" s="11" t="inlineStr">
        <is>
          <t>• Abandoned checkouts: not retrievable via the currently connected Shopify integration (no abandoned-checkout</t>
        </is>
      </c>
    </row>
    <row r="23" ht="15" customHeight="1">
      <c r="A23" s="11" t="inlineStr">
        <is>
          <t xml:space="preserve">  endpoint exposed). Left blank on the Dashboard and Shopify Daily Data tab.</t>
        </is>
      </c>
    </row>
    <row r="24" ht="15" customHeight="1">
      <c r="A24" s="11" t="inlineStr">
        <is>
          <t>• Session count / conversion rate: Shopify session-level analytics had not finished processing for yesterday</t>
        </is>
      </c>
    </row>
    <row r="25" ht="15" customHeight="1">
      <c r="A25" s="11" t="inlineStr">
        <is>
          <t xml:space="preserve">  (2026-07-01) at the time this report was generated — all session fields returned 0/blank. The 7-day average</t>
        </is>
      </c>
    </row>
    <row r="26" ht="15" customHeight="1">
      <c r="A26" s="11" t="inlineStr">
        <is>
          <t xml:space="preserve">  (2026-06-24 to 2026-06-30) is based on available data and should be treated as directional only, since the</t>
        </is>
      </c>
    </row>
    <row r="27" ht="15" customHeight="1">
      <c r="A27" s="11" t="inlineStr">
        <is>
          <t xml:space="preserve">  measured on-site conversion rate (~0.004%) is far below the actual order volume and likely reflects a</t>
        </is>
      </c>
    </row>
    <row r="28" ht="15" customHeight="1">
      <c r="A28" s="11" t="inlineStr">
        <is>
          <t xml:space="preserve">  tracking/attribution gap rather than true site performance.</t>
        </is>
      </c>
    </row>
    <row r="29" ht="15" customHeight="1">
      <c r="A29" s="11" t="inlineStr">
        <is>
          <t>• Inventory/product issues: only checked for the yesterday-dated inventory snapshot; a full store-wide low-</t>
        </is>
      </c>
    </row>
    <row r="30" ht="15" customHeight="1">
      <c r="A30" s="11" t="inlineStr">
        <is>
          <t xml:space="preserve">  stock audit was not run today. Two zero-stock SKUs were surfaced from that snapshot.</t>
        </is>
      </c>
    </row>
    <row r="31" ht="15" customHeight="1">
      <c r="A31" s="11" t="inlineStr">
        <is>
          <t>• Google Sheets: this report could not be written directly to Google Sheets because no Google Sheets</t>
        </is>
      </c>
    </row>
    <row r="32" ht="15" customHeight="1">
      <c r="A32" s="11" t="inlineStr">
        <is>
          <t xml:space="preserve">  integration/tool was available in this session. It has been generated as an Excel (.xlsx) workbook with the</t>
        </is>
      </c>
    </row>
    <row r="33" ht="15" customHeight="1">
      <c r="A33" s="11" t="inlineStr">
        <is>
          <t xml:space="preserve">  same tab structure, formatting, and formulas instead, and emailed as an attachment where possible.</t>
        </is>
      </c>
    </row>
  </sheetData>
  <mergeCells count="31">
    <mergeCell ref="A16:F16"/>
    <mergeCell ref="A27:F27"/>
    <mergeCell ref="A12:F12"/>
    <mergeCell ref="A18:F18"/>
    <mergeCell ref="A3:F3"/>
    <mergeCell ref="A21:F21"/>
    <mergeCell ref="A26:F26"/>
    <mergeCell ref="A33:F33"/>
    <mergeCell ref="A14:F14"/>
    <mergeCell ref="A5:F5"/>
    <mergeCell ref="A23:F23"/>
    <mergeCell ref="A32:F32"/>
    <mergeCell ref="A8:F8"/>
    <mergeCell ref="A22:F22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2026-07-02T17:47:52Z</dcterms:created>
  <dcterms:modified xsi:type="dcterms:W3CDTF">2026-07-02T17:49:48Z</dcterms:modified>
</cp:coreProperties>
</file>