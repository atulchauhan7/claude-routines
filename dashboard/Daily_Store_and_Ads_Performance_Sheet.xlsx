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opify Daily Data" sheetId="2" state="visible" r:id="rId2"/>
    <sheet name="Meta Ads Daily Data" sheetId="3" state="visible" r:id="rId3"/>
    <sheet name="Product Performance" sheetId="4" state="visible" r:id="rId4"/>
    <sheet name="Campaign Performance" sheetId="5" state="visible" r:id="rId5"/>
    <sheet name="Recommendations &amp; Notes" sheetId="6" state="visible" r:id="rId6"/>
  </sheets>
  <definedNames>
    <definedName name="_xlnm._FilterDatabase" localSheetId="1" hidden="1">'Shopify Daily Data'!$A$1:$O$9</definedName>
    <definedName name="_xlnm._FilterDatabase" localSheetId="2" hidden="1">'Meta Ads Daily Data'!$A$1:$K$9</definedName>
    <definedName name="_xlnm._FilterDatabase" localSheetId="3" hidden="1">'Product Performance'!$A$2:$F$12</definedName>
    <definedName name="_xlnm._FilterDatabase" localSheetId="4" hidden="1">'Campaign Performance'!$A$2:$K$6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₹&quot;#,##0.00"/>
    <numFmt numFmtId="165" formatCode="+0.0%;-0.0%;—"/>
    <numFmt numFmtId="166" formatCode="0.00&quot;%&quot;"/>
    <numFmt numFmtId="167" formatCode="0.00&quot;x&quot;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b val="1"/>
      <color rgb="00000000"/>
      <sz val="10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2A5AF7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4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0" fontId="0" fillId="0" borderId="1" pivotButton="0" quotePrefix="0" xfId="0"/>
    <xf numFmtId="0" fontId="3" fillId="4" borderId="0" pivotButton="0" quotePrefix="0" xfId="0"/>
    <xf numFmtId="0" fontId="0" fillId="0" borderId="1" applyAlignment="1" pivotButton="0" quotePrefix="0" xfId="0">
      <alignment vertical="top" wrapText="1"/>
    </xf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7EEC7"/>
        </patternFill>
      </fill>
    </dxf>
    <dxf>
      <fill>
        <patternFill patternType="solid">
          <fgColor rgb="00F5B6B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8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Data'!$B$2:$B$9</f>
            </numRef>
          </val>
        </ser>
        <ser>
          <idx val="1"/>
          <order val="1"/>
          <tx>
            <strRef>
              <f>'Shopify Daily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Orders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 Spend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Data'!$K$2:$K$9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ROAS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— Yesterday (Gross Sales)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Performance'!B2</f>
            </strRef>
          </tx>
          <spPr>
            <a:ln>
              <a:prstDash val="solid"/>
            </a:ln>
          </spPr>
          <cat>
            <numRef>
              <f>'Product Performance'!$A$3:$A$12</f>
            </numRef>
          </cat>
          <val>
            <numRef>
              <f>'Product Performance'!$B$3:$B$12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Campaigns — Yesterday (ROAS)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'Campaign Performance'!K2</f>
            </strRef>
          </tx>
          <spPr>
            <a:ln>
              <a:prstDash val="solid"/>
            </a:ln>
          </spPr>
          <cat>
            <numRef>
              <f>'Campaign Performance'!$A$3:$A$6</f>
            </numRef>
          </cat>
          <val>
            <numRef>
              <f>'Campaign Performance'!$K$3:$K$6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ROAS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Data'!$B$2:$B$9</f>
            </numRef>
          </val>
        </ser>
        <ser>
          <idx val="1"/>
          <order val="1"/>
          <tx>
            <strRef>
              <f>'Shopify Daily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Orders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Ad Spend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ROAS Trend (8 days)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Data'!$K$2:$K$9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ROAS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Products — Yesterday (Gross Sales)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Performance'!B2</f>
            </strRef>
          </tx>
          <spPr>
            <a:ln>
              <a:prstDash val="solid"/>
            </a:ln>
          </spPr>
          <cat>
            <numRef>
              <f>'Product Performance'!$A$3:$A$12</f>
            </numRef>
          </cat>
          <val>
            <numRef>
              <f>'Product Performance'!$B$3:$B$12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Campaigns — Yesterday (ROAS)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'Campaign Performance'!K2</f>
            </strRef>
          </tx>
          <spPr>
            <a:ln>
              <a:prstDash val="solid"/>
            </a:ln>
          </spPr>
          <cat>
            <numRef>
              <f>'Campaign Performance'!$A$3:$A$6</f>
            </numRef>
          </cat>
          <val>
            <numRef>
              <f>'Campaign Performance'!$K$3:$K$6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ROAS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19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6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36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6</col>
      <colOff>0</colOff>
      <row>2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13</col>
      <colOff>0</colOff>
      <row>2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6</col>
      <colOff>0</colOff>
      <row>19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13</col>
      <colOff>0</colOff>
      <row>19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6</col>
      <colOff>0</colOff>
      <row>36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13</col>
      <colOff>0</colOff>
      <row>36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32" customHeight="1">
      <c r="A1" s="1" t="inlineStr">
        <is>
          <t>DAILY STORE &amp; ADS PERFORMANCE — 2026-06-30 (Asia/Kolkata)</t>
        </is>
      </c>
    </row>
    <row r="3">
      <c r="A3" s="2" t="inlineStr">
        <is>
          <t>EXECUTIVE SUMMARY</t>
        </is>
      </c>
    </row>
    <row r="4" ht="30" customHeight="1">
      <c r="A4" s="3" t="inlineStr">
        <is>
          <t>Yesterday's gross sales were ₹170,229 across 57 orders, with Meta Ads spend of ₹40,645 driving a blended ROAS of 4.13x. See tables and charts below for the full picture vs the trailing 7-day average.</t>
        </is>
      </c>
    </row>
    <row r="5"/>
    <row r="7">
      <c r="A7" s="2" t="inlineStr">
        <is>
          <t>SHOPIFY PERFORMANCE</t>
        </is>
      </c>
    </row>
    <row r="8">
      <c r="A8" s="4" t="inlineStr">
        <is>
          <t>Metric</t>
        </is>
      </c>
      <c r="B8" s="4" t="inlineStr">
        <is>
          <t>Yesterday</t>
        </is>
      </c>
      <c r="C8" s="4" t="inlineStr">
        <is>
          <t>7-Day Avg</t>
        </is>
      </c>
      <c r="D8" s="4" t="inlineStr">
        <is>
          <t>Change vs Avg</t>
        </is>
      </c>
    </row>
    <row r="9">
      <c r="A9" s="5" t="inlineStr">
        <is>
          <t>Gross Sales</t>
        </is>
      </c>
      <c r="B9" s="6">
        <f>'Shopify Daily Data'!B9</f>
        <v/>
      </c>
      <c r="C9" s="6">
        <f>AVERAGE('Shopify Daily Data'!B2:B8)</f>
        <v/>
      </c>
      <c r="D9" s="15">
        <f>IF(C9=0,"—",(B9-C9)/C9)</f>
        <v/>
      </c>
    </row>
    <row r="10">
      <c r="A10" s="5" t="inlineStr">
        <is>
          <t>Net Sales</t>
        </is>
      </c>
      <c r="B10" s="6">
        <f>'Shopify Daily Data'!C9</f>
        <v/>
      </c>
      <c r="C10" s="6">
        <f>AVERAGE('Shopify Daily Data'!C2:C8)</f>
        <v/>
      </c>
      <c r="D10" s="15">
        <f>IF(C10=0,"—",(B10-C10)/C10)</f>
        <v/>
      </c>
    </row>
    <row r="11">
      <c r="A11" s="5" t="inlineStr">
        <is>
          <t>Orders</t>
        </is>
      </c>
      <c r="B11" s="8">
        <f>'Shopify Daily Data'!D9</f>
        <v/>
      </c>
      <c r="C11" s="8">
        <f>AVERAGE('Shopify Daily Data'!D2:D8)</f>
        <v/>
      </c>
      <c r="D11" s="15">
        <f>IF(C11=0,"—",(B11-C11)/C11)</f>
        <v/>
      </c>
    </row>
    <row r="12">
      <c r="A12" s="5" t="inlineStr">
        <is>
          <t>Average Order Value</t>
        </is>
      </c>
      <c r="B12" s="6">
        <f>'Shopify Daily Data'!E9</f>
        <v/>
      </c>
      <c r="C12" s="6">
        <f>AVERAGE('Shopify Daily Data'!E2:E8)</f>
        <v/>
      </c>
      <c r="D12" s="15">
        <f>IF(C12=0,"—",(B12-C12)/C12)</f>
        <v/>
      </c>
    </row>
    <row r="13">
      <c r="A13" s="5" t="inlineStr">
        <is>
          <t>Returns</t>
        </is>
      </c>
      <c r="B13" s="6">
        <f>'Shopify Daily Data'!H9</f>
        <v/>
      </c>
      <c r="C13" s="5" t="n"/>
      <c r="D13" s="5" t="n"/>
    </row>
    <row r="15">
      <c r="A15" s="2" t="inlineStr">
        <is>
          <t>META ADS PERFORMANCE</t>
        </is>
      </c>
    </row>
    <row r="16">
      <c r="A16" s="4" t="inlineStr">
        <is>
          <t>Metric</t>
        </is>
      </c>
      <c r="B16" s="4" t="inlineStr">
        <is>
          <t>Yesterday</t>
        </is>
      </c>
      <c r="C16" s="4" t="inlineStr">
        <is>
          <t>7-Day Avg</t>
        </is>
      </c>
      <c r="D16" s="4" t="inlineStr">
        <is>
          <t>Change vs Avg</t>
        </is>
      </c>
    </row>
    <row r="17">
      <c r="A17" s="5" t="inlineStr">
        <is>
          <t>Spend</t>
        </is>
      </c>
      <c r="B17" s="6">
        <f>'Meta Ads Daily Data'!B9</f>
        <v/>
      </c>
      <c r="C17" s="6">
        <f>AVERAGE('Meta Ads Daily Data'!B2:B8)</f>
        <v/>
      </c>
      <c r="D17" s="15">
        <f>IF(C17=0,"—",(B17-C17)/C17)</f>
        <v/>
      </c>
    </row>
    <row r="18">
      <c r="A18" s="5" t="inlineStr">
        <is>
          <t>Impressions</t>
        </is>
      </c>
      <c r="B18" s="8">
        <f>'Meta Ads Daily Data'!C9</f>
        <v/>
      </c>
      <c r="C18" s="8">
        <f>AVERAGE('Meta Ads Daily Data'!C2:C8)</f>
        <v/>
      </c>
      <c r="D18" s="15">
        <f>IF(C18=0,"—",(B18-C18)/C18)</f>
        <v/>
      </c>
    </row>
    <row r="19">
      <c r="A19" s="5" t="inlineStr">
        <is>
          <t>Clicks</t>
        </is>
      </c>
      <c r="B19" s="8">
        <f>'Meta Ads Daily Data'!E9</f>
        <v/>
      </c>
      <c r="C19" s="8">
        <f>AVERAGE('Meta Ads Daily Data'!E2:E8)</f>
        <v/>
      </c>
      <c r="D19" s="15">
        <f>IF(C19=0,"—",(B19-C19)/C19)</f>
        <v/>
      </c>
    </row>
    <row r="20">
      <c r="A20" s="5" t="inlineStr">
        <is>
          <t>CTR</t>
        </is>
      </c>
      <c r="B20" s="16">
        <f>'Meta Ads Daily Data'!F9</f>
        <v/>
      </c>
      <c r="C20" s="16">
        <f>AVERAGE('Meta Ads Daily Data'!F2:F8)</f>
        <v/>
      </c>
      <c r="D20" s="15">
        <f>IF(C20=0,"—",(B20-C20)/C20)</f>
        <v/>
      </c>
    </row>
    <row r="21">
      <c r="A21" s="5" t="inlineStr">
        <is>
          <t>Purchases</t>
        </is>
      </c>
      <c r="B21" s="8">
        <f>'Meta Ads Daily Data'!I9</f>
        <v/>
      </c>
      <c r="C21" s="8">
        <f>AVERAGE('Meta Ads Daily Data'!I2:I8)</f>
        <v/>
      </c>
      <c r="D21" s="15">
        <f>IF(C21=0,"—",(B21-C21)/C21)</f>
        <v/>
      </c>
    </row>
    <row r="22">
      <c r="A22" s="5" t="inlineStr">
        <is>
          <t>CPA</t>
        </is>
      </c>
      <c r="B22" s="6">
        <f>'Meta Ads Daily Data'!J9</f>
        <v/>
      </c>
      <c r="C22" s="6">
        <f>AVERAGE('Meta Ads Daily Data'!J2:J8)</f>
        <v/>
      </c>
      <c r="D22" s="15">
        <f>IF(C22=0,"—",(B22-C22)/C22)</f>
        <v/>
      </c>
    </row>
    <row r="23">
      <c r="A23" s="5" t="inlineStr">
        <is>
          <t>ROAS</t>
        </is>
      </c>
      <c r="B23" s="17">
        <f>'Meta Ads Daily Data'!K9</f>
        <v/>
      </c>
      <c r="C23" s="17">
        <f>AVERAGE('Meta Ads Daily Data'!K2:K8)</f>
        <v/>
      </c>
      <c r="D23" s="15">
        <f>IF(C23=0,"—",(B23-C23)/C23)</f>
        <v/>
      </c>
    </row>
    <row r="25">
      <c r="A25" s="2" t="inlineStr">
        <is>
          <t>KEY WINS</t>
        </is>
      </c>
    </row>
    <row r="26">
      <c r="A26" t="inlineStr">
        <is>
          <t>•</t>
        </is>
      </c>
      <c r="B26" s="3" t="inlineStr">
        <is>
          <t>Gross sales up +17.1% vs 7-day avg (₹170,229 vs ₹145,428); net sales up +20.6%.</t>
        </is>
      </c>
    </row>
    <row r="27">
      <c r="A27" t="inlineStr">
        <is>
          <t>•</t>
        </is>
      </c>
      <c r="B27" s="3" t="inlineStr">
        <is>
          <t>Blended Meta ROAS at 4.13x, up +17.9% vs 7-day avg (3.50x).</t>
        </is>
      </c>
    </row>
    <row r="28">
      <c r="A28" t="inlineStr">
        <is>
          <t>•</t>
        </is>
      </c>
      <c r="B28" s="3" t="inlineStr">
        <is>
          <t>'New Campaign- for recovery' was the top campaign yesterday: 4.75x ROAS on ₹12,200 spend, 23 purchases.</t>
        </is>
      </c>
    </row>
    <row r="29">
      <c r="A29" t="inlineStr">
        <is>
          <t>•</t>
        </is>
      </c>
      <c r="B29" s="3" t="inlineStr">
        <is>
          <t>Zero product returns recorded yesterday vs a 7-day average return drag of ₹-4,970/day.</t>
        </is>
      </c>
    </row>
    <row r="30">
      <c r="A30" t="inlineStr">
        <is>
          <t>•</t>
        </is>
      </c>
      <c r="B30" s="3" t="inlineStr">
        <is>
          <t>'Ira Rayon Co-ord Set for Women | Relaxed Fit Shirt Top with Draped Pants' remains the best seller (₹59,976, 24 orders) with healthy stock (15,560 units).</t>
        </is>
      </c>
    </row>
    <row r="32">
      <c r="A32" s="2" t="inlineStr">
        <is>
          <t>KEY ISSUES</t>
        </is>
      </c>
    </row>
    <row r="33">
      <c r="A33" t="inlineStr">
        <is>
          <t>•</t>
        </is>
      </c>
      <c r="B33" s="3" t="inlineStr">
        <is>
          <t>Clicks down -6.6% vs 7-day avg despite similar spend — slight efficiency dip.</t>
        </is>
      </c>
    </row>
    <row r="34">
      <c r="A34" t="inlineStr">
        <is>
          <t>•</t>
        </is>
      </c>
      <c r="B34" s="3" t="inlineStr">
        <is>
          <t>'Retargeting- new' is the weakest campaign yesterday: 2.51x ROAS, highest CPA at ₹1,061.</t>
        </is>
      </c>
    </row>
    <row r="35">
      <c r="A35" t="inlineStr">
        <is>
          <t>•</t>
        </is>
      </c>
      <c r="B35" s="3" t="inlineStr">
        <is>
          <t>Ad set 'Black and multiple' flagged by Meta for a narrow audience (13.7K–16.2K) — likely capping delivery.</t>
        </is>
      </c>
    </row>
    <row r="36">
      <c r="A36" t="inlineStr">
        <is>
          <t>•</t>
        </is>
      </c>
      <c r="B36" s="3" t="inlineStr">
        <is>
          <t>Shopify session-based conversion rate is showing ~0% across all 8 days despite real completed orders — looks like an attribution/session-matching lag, not an actual conversion problem. Needs a pixel/GA4 check.</t>
        </is>
      </c>
    </row>
    <row r="38">
      <c r="A38" s="2" t="inlineStr">
        <is>
          <t>RECOMMENDED ACTIONS FOR TODAY</t>
        </is>
      </c>
    </row>
    <row r="39">
      <c r="A39" t="n">
        <v>1</v>
      </c>
      <c r="B39" s="3" t="inlineStr">
        <is>
          <t>Scale 'New Campaign- for recovery' — best ROAS (4.75x) and volume yesterday; increase daily budget by ~15-20%.</t>
        </is>
      </c>
    </row>
    <row r="40">
      <c r="A40" t="n">
        <v>2</v>
      </c>
      <c r="B40" s="3" t="inlineStr">
        <is>
          <t>Review or pause underperforming elements of 'Retargeting- new' — ROAS 2.51x and CPA ₹1,061 are the weakest in the account; refresh creative or tighten the retargeting window.</t>
        </is>
      </c>
    </row>
    <row r="41">
      <c r="A41" t="n">
        <v>3</v>
      </c>
      <c r="B41" s="3" t="inlineStr">
        <is>
          <t>Expand the audience (or turn off Advantage+ narrowing) for the 'Black and multiple' ad set — flagged as narrow, likely limiting reach.</t>
        </is>
      </c>
    </row>
    <row r="42">
      <c r="A42" t="n">
        <v>4</v>
      </c>
      <c r="B42" s="3" t="inlineStr">
        <is>
          <t>Investigate Shopify checkout/session tracking — conversion rate reads ~0% despite 57 real orders yesterday; verify pixel/GA4 event wiring so attribution data can be trusted.</t>
        </is>
      </c>
    </row>
    <row r="43">
      <c r="A43" t="n">
        <v>5</v>
      </c>
      <c r="B43" s="3" t="inlineStr">
        <is>
          <t>Maintain spend on 'New Campaign- for recovery' and check inventory/pages for top sellers — 'Ira Rayon Co-ord Set for Women | Relaxed Fit Shirt Top with Draped Pants' is driving outsized volume.</t>
        </is>
      </c>
    </row>
    <row r="44">
      <c r="A44" t="n">
        <v>6</v>
      </c>
      <c r="B44" s="3" t="inlineStr">
        <is>
          <t>Set up (or verify) abandoned checkout recovery emails — could not confirm current recovery flow status from available data sources.</t>
        </is>
      </c>
    </row>
  </sheetData>
  <mergeCells count="23">
    <mergeCell ref="B42:D42"/>
    <mergeCell ref="A4:F5"/>
    <mergeCell ref="A38:D38"/>
    <mergeCell ref="B44:D44"/>
    <mergeCell ref="B29:D29"/>
    <mergeCell ref="A3:F3"/>
    <mergeCell ref="B34:D34"/>
    <mergeCell ref="B28:D28"/>
    <mergeCell ref="B40:D40"/>
    <mergeCell ref="A15:D15"/>
    <mergeCell ref="B30:D30"/>
    <mergeCell ref="B33:D33"/>
    <mergeCell ref="B36:D36"/>
    <mergeCell ref="B41:D41"/>
    <mergeCell ref="B35:D35"/>
    <mergeCell ref="B26:D26"/>
    <mergeCell ref="A7:D7"/>
    <mergeCell ref="A25:D25"/>
    <mergeCell ref="A1:F1"/>
    <mergeCell ref="B27:D27"/>
    <mergeCell ref="B43:D43"/>
    <mergeCell ref="B39:D39"/>
    <mergeCell ref="A32:D32"/>
  </mergeCells>
  <conditionalFormatting sqref="D9:D13">
    <cfRule type="cellIs" priority="1" operator="greaterThan" dxfId="0">
      <formula>0</formula>
    </cfRule>
    <cfRule type="cellIs" priority="2" operator="lessThan" dxfId="1">
      <formula>0</formula>
    </cfRule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17:D23">
    <cfRule type="cellIs" priority="3" operator="greaterThan" dxfId="0">
      <formula>0</formula>
    </cfRule>
    <cfRule type="cellIs" priority="4" operator="lessThan" dxfId="1">
      <formula>0</formula>
    </cfRule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9" customWidth="1" min="4" max="4"/>
    <col width="11" customWidth="1" min="5" max="5"/>
    <col width="13" customWidth="1" min="6" max="6"/>
    <col width="12" customWidth="1" min="7" max="7"/>
    <col width="12" customWidth="1" min="8" max="8"/>
    <col width="11" customWidth="1" min="9" max="9"/>
    <col width="10" customWidth="1" min="10" max="10"/>
    <col width="10" customWidth="1" min="11" max="11"/>
    <col width="10" customWidth="1" min="12" max="12"/>
    <col width="15" customWidth="1" min="13" max="13"/>
    <col width="16" customWidth="1" min="14" max="14"/>
    <col width="14" customWidth="1" min="15" max="15"/>
  </cols>
  <sheetData>
    <row r="1">
      <c r="A1" s="11" t="inlineStr">
        <is>
          <t>Date</t>
        </is>
      </c>
      <c r="B1" s="11" t="inlineStr">
        <is>
          <t>Gross Sales</t>
        </is>
      </c>
      <c r="C1" s="11" t="inlineStr">
        <is>
          <t>Net Sales</t>
        </is>
      </c>
      <c r="D1" s="11" t="inlineStr">
        <is>
          <t>Orders</t>
        </is>
      </c>
      <c r="E1" s="11" t="inlineStr">
        <is>
          <t>AOV</t>
        </is>
      </c>
      <c r="F1" s="11" t="inlineStr">
        <is>
          <t>Total Sales</t>
        </is>
      </c>
      <c r="G1" s="11" t="inlineStr">
        <is>
          <t>Discounts</t>
        </is>
      </c>
      <c r="H1" s="11" t="inlineStr">
        <is>
          <t>Returns</t>
        </is>
      </c>
      <c r="I1" s="11" t="inlineStr">
        <is>
          <t>Shipping</t>
        </is>
      </c>
      <c r="J1" s="11" t="inlineStr">
        <is>
          <t>Taxes</t>
        </is>
      </c>
      <c r="K1" s="11" t="inlineStr">
        <is>
          <t>Sessions</t>
        </is>
      </c>
      <c r="L1" s="11" t="inlineStr">
        <is>
          <t>Cart Adds</t>
        </is>
      </c>
      <c r="M1" s="11" t="inlineStr">
        <is>
          <t>Reached Checkout</t>
        </is>
      </c>
      <c r="N1" s="11" t="inlineStr">
        <is>
          <t>Completed Checkout</t>
        </is>
      </c>
      <c r="O1" s="11" t="inlineStr">
        <is>
          <t>Conversion Rate</t>
        </is>
      </c>
    </row>
    <row r="2">
      <c r="A2" s="5" t="inlineStr">
        <is>
          <t>2026-06-23</t>
        </is>
      </c>
      <c r="B2" s="6" t="n">
        <v>157134</v>
      </c>
      <c r="C2" s="6" t="n">
        <v>154770.78</v>
      </c>
      <c r="D2" s="8" t="n">
        <v>61</v>
      </c>
      <c r="E2" s="6" t="n">
        <v>2537.23</v>
      </c>
      <c r="F2" s="6" t="n">
        <v>154770.78</v>
      </c>
      <c r="G2" s="6" t="n">
        <v>-2363.22</v>
      </c>
      <c r="H2" s="6" t="n">
        <v>0</v>
      </c>
      <c r="I2" s="6" t="n">
        <v>0</v>
      </c>
      <c r="J2" s="6" t="n">
        <v>0</v>
      </c>
      <c r="K2" s="8" t="n">
        <v>3606</v>
      </c>
      <c r="L2" s="8" t="n">
        <v>243</v>
      </c>
      <c r="M2" s="8" t="n">
        <v>0</v>
      </c>
      <c r="N2" s="8" t="n">
        <v>0</v>
      </c>
      <c r="O2" s="12" t="n">
        <v>0</v>
      </c>
    </row>
    <row r="3">
      <c r="A3" s="5" t="inlineStr">
        <is>
          <t>2026-06-24</t>
        </is>
      </c>
      <c r="B3" s="6" t="n">
        <v>131811.25</v>
      </c>
      <c r="C3" s="6" t="n">
        <v>130054.88</v>
      </c>
      <c r="D3" s="8" t="n">
        <v>52</v>
      </c>
      <c r="E3" s="6" t="n">
        <v>2501.06</v>
      </c>
      <c r="F3" s="6" t="n">
        <v>130588.63</v>
      </c>
      <c r="G3" s="6" t="n">
        <v>-1756.37</v>
      </c>
      <c r="H3" s="6" t="n">
        <v>0</v>
      </c>
      <c r="I3" s="6" t="n">
        <v>0</v>
      </c>
      <c r="J3" s="6" t="n">
        <v>533.75</v>
      </c>
      <c r="K3" s="8" t="n">
        <v>3097</v>
      </c>
      <c r="L3" s="8" t="n">
        <v>187</v>
      </c>
      <c r="M3" s="8" t="n">
        <v>3</v>
      </c>
      <c r="N3" s="8" t="n">
        <v>1</v>
      </c>
      <c r="O3" s="12" t="n">
        <v>0.0003</v>
      </c>
    </row>
    <row r="4">
      <c r="A4" s="5" t="inlineStr">
        <is>
          <t>2026-06-25</t>
        </is>
      </c>
      <c r="B4" s="6" t="n">
        <v>136043</v>
      </c>
      <c r="C4" s="6" t="n">
        <v>130120.71</v>
      </c>
      <c r="D4" s="8" t="n">
        <v>49</v>
      </c>
      <c r="E4" s="6" t="n">
        <v>2655.52</v>
      </c>
      <c r="F4" s="6" t="n">
        <v>130120.71</v>
      </c>
      <c r="G4" s="6" t="n">
        <v>-5922.29</v>
      </c>
      <c r="H4" s="6" t="n">
        <v>0</v>
      </c>
      <c r="I4" s="6" t="n">
        <v>0</v>
      </c>
      <c r="J4" s="6" t="n">
        <v>0</v>
      </c>
      <c r="K4" s="8" t="n">
        <v>2993</v>
      </c>
      <c r="L4" s="8" t="n">
        <v>176</v>
      </c>
      <c r="M4" s="8" t="n">
        <v>1</v>
      </c>
      <c r="N4" s="8" t="n">
        <v>0</v>
      </c>
      <c r="O4" s="12" t="n">
        <v>0</v>
      </c>
    </row>
    <row r="5">
      <c r="A5" s="5" t="inlineStr">
        <is>
          <t>2026-06-26</t>
        </is>
      </c>
      <c r="B5" s="6" t="n">
        <v>165729</v>
      </c>
      <c r="C5" s="6" t="n">
        <v>165079.25</v>
      </c>
      <c r="D5" s="8" t="n">
        <v>68</v>
      </c>
      <c r="E5" s="6" t="n">
        <v>2427.64</v>
      </c>
      <c r="F5" s="6" t="n">
        <v>165079.25</v>
      </c>
      <c r="G5" s="6" t="n">
        <v>-649.75</v>
      </c>
      <c r="H5" s="6" t="n">
        <v>0</v>
      </c>
      <c r="I5" s="6" t="n">
        <v>0</v>
      </c>
      <c r="J5" s="6" t="n">
        <v>0</v>
      </c>
      <c r="K5" s="8" t="n">
        <v>3448</v>
      </c>
      <c r="L5" s="8" t="n">
        <v>234</v>
      </c>
      <c r="M5" s="8" t="n">
        <v>1</v>
      </c>
      <c r="N5" s="8" t="n">
        <v>0</v>
      </c>
      <c r="O5" s="12" t="n">
        <v>0</v>
      </c>
    </row>
    <row r="6">
      <c r="A6" s="5" t="inlineStr">
        <is>
          <t>2026-06-27</t>
        </is>
      </c>
      <c r="B6" s="6" t="n">
        <v>163386</v>
      </c>
      <c r="C6" s="6" t="n">
        <v>135020.7</v>
      </c>
      <c r="D6" s="8" t="n">
        <v>62</v>
      </c>
      <c r="E6" s="6" t="n">
        <v>2627.64</v>
      </c>
      <c r="F6" s="6" t="n">
        <v>135020.7</v>
      </c>
      <c r="G6" s="6" t="n">
        <v>-472.3</v>
      </c>
      <c r="H6" s="6" t="n">
        <v>-27893</v>
      </c>
      <c r="I6" s="6" t="n">
        <v>0</v>
      </c>
      <c r="J6" s="6" t="n">
        <v>0</v>
      </c>
      <c r="K6" s="8" t="n">
        <v>2835</v>
      </c>
      <c r="L6" s="8" t="n">
        <v>167</v>
      </c>
      <c r="M6" s="8" t="n">
        <v>0</v>
      </c>
      <c r="N6" s="8" t="n">
        <v>0</v>
      </c>
      <c r="O6" s="12" t="n">
        <v>0</v>
      </c>
    </row>
    <row r="7">
      <c r="A7" s="5" t="inlineStr">
        <is>
          <t>2026-06-28</t>
        </is>
      </c>
      <c r="B7" s="6" t="n">
        <v>143639</v>
      </c>
      <c r="C7" s="6" t="n">
        <v>143174.25</v>
      </c>
      <c r="D7" s="8" t="n">
        <v>56</v>
      </c>
      <c r="E7" s="6" t="n">
        <v>2556.68</v>
      </c>
      <c r="F7" s="6" t="n">
        <v>143174.25</v>
      </c>
      <c r="G7" s="6" t="n">
        <v>-464.75</v>
      </c>
      <c r="H7" s="6" t="n">
        <v>0</v>
      </c>
      <c r="I7" s="6" t="n">
        <v>0</v>
      </c>
      <c r="J7" s="6" t="n">
        <v>0</v>
      </c>
      <c r="K7" s="8" t="n">
        <v>3662</v>
      </c>
      <c r="L7" s="8" t="n">
        <v>214</v>
      </c>
      <c r="M7" s="8" t="n">
        <v>1</v>
      </c>
      <c r="N7" s="8" t="n">
        <v>0</v>
      </c>
      <c r="O7" s="12" t="n">
        <v>0</v>
      </c>
    </row>
    <row r="8">
      <c r="A8" s="5" t="inlineStr">
        <is>
          <t>2026-06-29</t>
        </is>
      </c>
      <c r="B8" s="6" t="n">
        <v>120251</v>
      </c>
      <c r="C8" s="6" t="n">
        <v>112962.15</v>
      </c>
      <c r="D8" s="8" t="n">
        <v>47</v>
      </c>
      <c r="E8" s="6" t="n">
        <v>2550.24</v>
      </c>
      <c r="F8" s="6" t="n">
        <v>112962.15</v>
      </c>
      <c r="G8" s="6" t="n">
        <v>-389.85</v>
      </c>
      <c r="H8" s="6" t="n">
        <v>-6899</v>
      </c>
      <c r="I8" s="6" t="n">
        <v>0</v>
      </c>
      <c r="J8" s="6" t="n">
        <v>0</v>
      </c>
      <c r="K8" s="8" t="n">
        <v>3249</v>
      </c>
      <c r="L8" s="8" t="n">
        <v>159</v>
      </c>
      <c r="M8" s="8" t="n">
        <v>0</v>
      </c>
      <c r="N8" s="8" t="n">
        <v>0</v>
      </c>
      <c r="O8" s="12" t="n">
        <v>0</v>
      </c>
    </row>
    <row r="9">
      <c r="A9" s="5" t="inlineStr">
        <is>
          <t>2026-06-30</t>
        </is>
      </c>
      <c r="B9" s="6" t="n">
        <v>170229</v>
      </c>
      <c r="C9" s="6" t="n">
        <v>167376.63</v>
      </c>
      <c r="D9" s="8" t="n">
        <v>57</v>
      </c>
      <c r="E9" s="6" t="n">
        <v>2936.43</v>
      </c>
      <c r="F9" s="6" t="n">
        <v>167376.63</v>
      </c>
      <c r="G9" s="6" t="n">
        <v>-2852.37</v>
      </c>
      <c r="H9" s="6" t="n">
        <v>0</v>
      </c>
      <c r="I9" s="6" t="n">
        <v>0</v>
      </c>
      <c r="J9" s="6" t="n">
        <v>0</v>
      </c>
      <c r="K9" s="8" t="n">
        <v>3107</v>
      </c>
      <c r="L9" s="8" t="n">
        <v>184</v>
      </c>
      <c r="M9" s="8" t="n">
        <v>3</v>
      </c>
      <c r="N9" s="8" t="n">
        <v>0</v>
      </c>
      <c r="O9" s="12" t="n">
        <v>0</v>
      </c>
    </row>
  </sheetData>
  <autoFilter ref="A1:O9"/>
  <conditionalFormatting sqref="B2:B9">
    <cfRule type="colorScale" priority="1">
      <colorScale>
        <cfvo type="min"/>
        <cfvo type="percentile" val="50"/>
        <cfvo type="max"/>
        <color rgb="00F5B6B6"/>
        <color rgb="00FFF2CC"/>
        <color rgb="00C7EEC7"/>
      </colorScale>
    </cfRule>
    <cfRule type="colorScale" priority="2">
      <colorScale>
        <cfvo type="min"/>
        <cfvo type="percentile" val="50"/>
        <cfvo type="max"/>
        <color rgb="00F5B6B6"/>
        <color rgb="00FFF2CC"/>
        <color rgb="00C7EEC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1" customWidth="1" min="9" max="9"/>
    <col width="11" customWidth="1" min="10" max="10"/>
    <col width="9" customWidth="1" min="11" max="11"/>
  </cols>
  <sheetData>
    <row r="1">
      <c r="A1" s="11" t="inlineStr">
        <is>
          <t>Date</t>
        </is>
      </c>
      <c r="B1" s="11" t="inlineStr">
        <is>
          <t>Spend</t>
        </is>
      </c>
      <c r="C1" s="11" t="inlineStr">
        <is>
          <t>Impressions</t>
        </is>
      </c>
      <c r="D1" s="11" t="inlineStr">
        <is>
          <t>Reach</t>
        </is>
      </c>
      <c r="E1" s="11" t="inlineStr">
        <is>
          <t>Clicks</t>
        </is>
      </c>
      <c r="F1" s="11" t="inlineStr">
        <is>
          <t>CTR</t>
        </is>
      </c>
      <c r="G1" s="11" t="inlineStr">
        <is>
          <t>CPC</t>
        </is>
      </c>
      <c r="H1" s="11" t="inlineStr">
        <is>
          <t>CPM</t>
        </is>
      </c>
      <c r="I1" s="11" t="inlineStr">
        <is>
          <t>Purchases</t>
        </is>
      </c>
      <c r="J1" s="11" t="inlineStr">
        <is>
          <t>CPA</t>
        </is>
      </c>
      <c r="K1" s="11" t="inlineStr">
        <is>
          <t>ROAS</t>
        </is>
      </c>
    </row>
    <row r="2">
      <c r="A2" s="5" t="inlineStr">
        <is>
          <t>2026-06-23</t>
        </is>
      </c>
      <c r="B2" s="6" t="n">
        <v>38854.91</v>
      </c>
      <c r="C2" s="8" t="n">
        <v>265421</v>
      </c>
      <c r="D2" s="8" t="n">
        <v>214426</v>
      </c>
      <c r="E2" s="8" t="n">
        <v>5437</v>
      </c>
      <c r="F2" s="16" t="n">
        <v>2.05</v>
      </c>
      <c r="G2" s="6" t="n">
        <v>7.15</v>
      </c>
      <c r="H2" s="6" t="n">
        <v>146.39</v>
      </c>
      <c r="I2" s="8" t="n">
        <v>60</v>
      </c>
      <c r="J2" s="6" t="n">
        <v>647.58</v>
      </c>
      <c r="K2" s="17" t="n">
        <v>3.93</v>
      </c>
    </row>
    <row r="3">
      <c r="A3" s="5" t="inlineStr">
        <is>
          <t>2026-06-24</t>
        </is>
      </c>
      <c r="B3" s="6" t="n">
        <v>39597.99</v>
      </c>
      <c r="C3" s="8" t="n">
        <v>261473</v>
      </c>
      <c r="D3" s="8" t="n">
        <v>200752</v>
      </c>
      <c r="E3" s="8" t="n">
        <v>5783</v>
      </c>
      <c r="F3" s="16" t="n">
        <v>2.21</v>
      </c>
      <c r="G3" s="6" t="n">
        <v>6.85</v>
      </c>
      <c r="H3" s="6" t="n">
        <v>151.44</v>
      </c>
      <c r="I3" s="8" t="n">
        <v>51</v>
      </c>
      <c r="J3" s="6" t="n">
        <v>776.4299999999999</v>
      </c>
      <c r="K3" s="17" t="n">
        <v>3.25</v>
      </c>
    </row>
    <row r="4">
      <c r="A4" s="5" t="inlineStr">
        <is>
          <t>2026-06-25</t>
        </is>
      </c>
      <c r="B4" s="6" t="n">
        <v>38946.55</v>
      </c>
      <c r="C4" s="8" t="n">
        <v>162777</v>
      </c>
      <c r="D4" s="8" t="n">
        <v>124083</v>
      </c>
      <c r="E4" s="8" t="n">
        <v>4357</v>
      </c>
      <c r="F4" s="16" t="n">
        <v>2.68</v>
      </c>
      <c r="G4" s="6" t="n">
        <v>8.94</v>
      </c>
      <c r="H4" s="6" t="n">
        <v>239.26</v>
      </c>
      <c r="I4" s="8" t="n">
        <v>47</v>
      </c>
      <c r="J4" s="6" t="n">
        <v>828.65</v>
      </c>
      <c r="K4" s="17" t="n">
        <v>3.12</v>
      </c>
    </row>
    <row r="5">
      <c r="A5" s="5" t="inlineStr">
        <is>
          <t>2026-06-26</t>
        </is>
      </c>
      <c r="B5" s="6" t="n">
        <v>42277.97</v>
      </c>
      <c r="C5" s="8" t="n">
        <v>243521</v>
      </c>
      <c r="D5" s="8" t="n">
        <v>195484</v>
      </c>
      <c r="E5" s="8" t="n">
        <v>5114</v>
      </c>
      <c r="F5" s="16" t="n">
        <v>2.1</v>
      </c>
      <c r="G5" s="6" t="n">
        <v>8.27</v>
      </c>
      <c r="H5" s="6" t="n">
        <v>173.61</v>
      </c>
      <c r="I5" s="8" t="n">
        <v>60</v>
      </c>
      <c r="J5" s="6" t="n">
        <v>704.63</v>
      </c>
      <c r="K5" s="17" t="n">
        <v>3.45</v>
      </c>
    </row>
    <row r="6">
      <c r="A6" s="5" t="inlineStr">
        <is>
          <t>2026-06-27</t>
        </is>
      </c>
      <c r="B6" s="6" t="n">
        <v>32409.25</v>
      </c>
      <c r="C6" s="8" t="n">
        <v>192229</v>
      </c>
      <c r="D6" s="8" t="n">
        <v>148787</v>
      </c>
      <c r="E6" s="8" t="n">
        <v>4153</v>
      </c>
      <c r="F6" s="16" t="n">
        <v>2.16</v>
      </c>
      <c r="G6" s="6" t="n">
        <v>7.8</v>
      </c>
      <c r="H6" s="6" t="n">
        <v>168.6</v>
      </c>
      <c r="I6" s="8" t="n">
        <v>56</v>
      </c>
      <c r="J6" s="6" t="n">
        <v>578.74</v>
      </c>
      <c r="K6" s="17" t="n">
        <v>4.42</v>
      </c>
    </row>
    <row r="7">
      <c r="A7" s="5" t="inlineStr">
        <is>
          <t>2026-06-28</t>
        </is>
      </c>
      <c r="B7" s="6" t="n">
        <v>43450.69</v>
      </c>
      <c r="C7" s="8" t="n">
        <v>327124</v>
      </c>
      <c r="D7" s="8" t="n">
        <v>255502</v>
      </c>
      <c r="E7" s="8" t="n">
        <v>5714</v>
      </c>
      <c r="F7" s="16" t="n">
        <v>1.75</v>
      </c>
      <c r="G7" s="6" t="n">
        <v>7.6</v>
      </c>
      <c r="H7" s="6" t="n">
        <v>132.83</v>
      </c>
      <c r="I7" s="8" t="n">
        <v>55</v>
      </c>
      <c r="J7" s="6" t="n">
        <v>790.01</v>
      </c>
      <c r="K7" s="17" t="n">
        <v>3.22</v>
      </c>
    </row>
    <row r="8">
      <c r="A8" s="5" t="inlineStr">
        <is>
          <t>2026-06-29</t>
        </is>
      </c>
      <c r="B8" s="6" t="n">
        <v>39138.71</v>
      </c>
      <c r="C8" s="8" t="n">
        <v>300516</v>
      </c>
      <c r="D8" s="8" t="n">
        <v>252389</v>
      </c>
      <c r="E8" s="8" t="n">
        <v>4951</v>
      </c>
      <c r="F8" s="16" t="n">
        <v>1.65</v>
      </c>
      <c r="G8" s="6" t="n">
        <v>7.91</v>
      </c>
      <c r="H8" s="6" t="n">
        <v>130.24</v>
      </c>
      <c r="I8" s="8" t="n">
        <v>48</v>
      </c>
      <c r="J8" s="6" t="n">
        <v>815.39</v>
      </c>
      <c r="K8" s="17" t="n">
        <v>3.13</v>
      </c>
    </row>
    <row r="9">
      <c r="A9" s="5" t="inlineStr">
        <is>
          <t>2026-06-30</t>
        </is>
      </c>
      <c r="B9" s="6" t="n">
        <v>40644.96</v>
      </c>
      <c r="C9" s="8" t="n">
        <v>250223</v>
      </c>
      <c r="D9" s="8" t="n">
        <v>201632</v>
      </c>
      <c r="E9" s="8" t="n">
        <v>4738</v>
      </c>
      <c r="F9" s="16" t="n">
        <v>1.89</v>
      </c>
      <c r="G9" s="6" t="n">
        <v>8.58</v>
      </c>
      <c r="H9" s="6" t="n">
        <v>162.43</v>
      </c>
      <c r="I9" s="8" t="n">
        <v>57</v>
      </c>
      <c r="J9" s="6" t="n">
        <v>713.0700000000001</v>
      </c>
      <c r="K9" s="17" t="n">
        <v>4.13</v>
      </c>
    </row>
  </sheetData>
  <autoFilter ref="A1:K9"/>
  <conditionalFormatting sqref="K2:K9">
    <cfRule type="cellIs" priority="1" operator="lessThan" dxfId="1">
      <formula>1.5</formula>
    </cfRule>
    <cfRule type="cellIs" priority="2" operator="between" dxfId="2">
      <formula>1.5</formula>
      <formula>3</formula>
    </cfRule>
    <cfRule type="cellIs" priority="3" operator="greaterThan" dxfId="0">
      <formula>3</formula>
    </cfRule>
    <cfRule type="cellIs" priority="4" operator="lessThan" dxfId="1">
      <formula>1.5</formula>
    </cfRule>
    <cfRule type="cellIs" priority="5" operator="between" dxfId="2">
      <formula>1.5</formula>
      <formula>3</formula>
    </cfRule>
    <cfRule type="cellIs" priority="6" operator="greaterThan" dxfId="0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10" customWidth="1" min="4" max="4"/>
    <col width="12" customWidth="1" min="5" max="5"/>
    <col width="16" customWidth="1" min="6" max="6"/>
  </cols>
  <sheetData>
    <row r="1" ht="28" customHeight="1">
      <c r="A1" s="1" t="inlineStr">
        <is>
          <t>TOP PRODUCTS — YESTERDAY (2026-06-30)</t>
        </is>
      </c>
    </row>
    <row r="2">
      <c r="A2" s="4" t="inlineStr">
        <is>
          <t>Product</t>
        </is>
      </c>
      <c r="B2" s="4" t="inlineStr">
        <is>
          <t>Gross Sales</t>
        </is>
      </c>
      <c r="C2" s="4" t="inlineStr">
        <is>
          <t>Net Sales</t>
        </is>
      </c>
      <c r="D2" s="4" t="inlineStr">
        <is>
          <t>Orders</t>
        </is>
      </c>
      <c r="E2" s="4" t="inlineStr">
        <is>
          <t>Units Sold</t>
        </is>
      </c>
      <c r="F2" s="4" t="inlineStr">
        <is>
          <t>Ending Inventory</t>
        </is>
      </c>
    </row>
    <row r="3">
      <c r="A3" s="5" t="inlineStr">
        <is>
          <t>Ira Rayon Co-ord Set for Women | Relaxed Fit Shirt Top with Draped Pants</t>
        </is>
      </c>
      <c r="B3" s="6" t="n">
        <v>59976</v>
      </c>
      <c r="C3" s="6" t="n">
        <v>59976</v>
      </c>
      <c r="D3" s="8" t="n">
        <v>24</v>
      </c>
      <c r="E3" s="8" t="n">
        <v>24</v>
      </c>
      <c r="F3" s="8" t="n">
        <v>15560</v>
      </c>
    </row>
    <row r="4">
      <c r="A4" s="5" t="inlineStr">
        <is>
          <t>Embroidered Rayon Kurti with Farshi Salwar Set — Elegant Ethnic Co-Ord for Women</t>
        </is>
      </c>
      <c r="B4" s="6" t="n">
        <v>14195</v>
      </c>
      <c r="C4" s="6" t="n">
        <v>14195</v>
      </c>
      <c r="D4" s="8" t="n">
        <v>2</v>
      </c>
      <c r="E4" s="8" t="n">
        <v>5</v>
      </c>
      <c r="F4" s="8" t="n">
        <v>14642</v>
      </c>
    </row>
    <row r="5">
      <c r="A5" s="5" t="inlineStr">
        <is>
          <t>The Dhurandhar Black Short Kurta Set | A Dhirai Essential</t>
        </is>
      </c>
      <c r="B5" s="6" t="n">
        <v>12594</v>
      </c>
      <c r="C5" s="6" t="n">
        <v>12489.05</v>
      </c>
      <c r="D5" s="8" t="n">
        <v>6</v>
      </c>
      <c r="E5" s="8" t="n">
        <v>6</v>
      </c>
      <c r="F5" s="8" t="n">
        <v>2154</v>
      </c>
    </row>
    <row r="6">
      <c r="A6" s="5" t="inlineStr">
        <is>
          <t>Eclipse Grace Premium Crepe Salwar Suit set | DHIRAI</t>
        </is>
      </c>
      <c r="B6" s="6" t="n">
        <v>11996</v>
      </c>
      <c r="C6" s="6" t="n">
        <v>11996</v>
      </c>
      <c r="D6" s="8" t="n">
        <v>4</v>
      </c>
      <c r="E6" s="8" t="n">
        <v>4</v>
      </c>
      <c r="F6" s="8" t="n">
        <v>339</v>
      </c>
    </row>
    <row r="7">
      <c r="A7" s="5" t="inlineStr">
        <is>
          <t>"Inayat" — Power Pastel Cotton Shirt &amp; Trouser Co-ord Set</t>
        </is>
      </c>
      <c r="B7" s="6" t="n">
        <v>10095</v>
      </c>
      <c r="C7" s="6" t="n">
        <v>9990.049999999999</v>
      </c>
      <c r="D7" s="8" t="n">
        <v>5</v>
      </c>
      <c r="E7" s="8" t="n">
        <v>5</v>
      </c>
      <c r="F7" s="8" t="n">
        <v>7556</v>
      </c>
    </row>
    <row r="8">
      <c r="A8" s="5" t="inlineStr">
        <is>
          <t>Sage Aura cotton Kurta Set | DHIRAI</t>
        </is>
      </c>
      <c r="B8" s="6" t="n">
        <v>8396</v>
      </c>
      <c r="C8" s="6" t="n">
        <v>7522.81</v>
      </c>
      <c r="D8" s="8" t="n">
        <v>4</v>
      </c>
      <c r="E8" s="8" t="n">
        <v>4</v>
      </c>
      <c r="F8" s="8" t="n">
        <v>375</v>
      </c>
    </row>
    <row r="9">
      <c r="A9" s="5" t="inlineStr">
        <is>
          <t>"The Essential" - White Cotton Shirt &amp; Pant Co-ord Set</t>
        </is>
      </c>
      <c r="B9" s="6" t="n">
        <v>8096</v>
      </c>
      <c r="C9" s="6" t="n">
        <v>8096</v>
      </c>
      <c r="D9" s="8" t="n">
        <v>4</v>
      </c>
      <c r="E9" s="8" t="n">
        <v>4</v>
      </c>
      <c r="F9" s="8" t="n">
        <v>5893</v>
      </c>
    </row>
    <row r="10">
      <c r="A10" s="5" t="inlineStr">
        <is>
          <t>Everyday Elegance Cotton Kurta Pant Set</t>
        </is>
      </c>
      <c r="B10" s="6" t="n">
        <v>7996</v>
      </c>
      <c r="C10" s="6" t="n">
        <v>7896.05</v>
      </c>
      <c r="D10" s="8" t="n">
        <v>4</v>
      </c>
      <c r="E10" s="8" t="n">
        <v>4</v>
      </c>
      <c r="F10" s="8" t="n">
        <v>63218</v>
      </c>
    </row>
    <row r="11">
      <c r="A11" s="5" t="inlineStr">
        <is>
          <t>"Sana" — Deep Chocolate Premium Georgette Anarkali Set</t>
        </is>
      </c>
      <c r="B11" s="6" t="n">
        <v>5098</v>
      </c>
      <c r="C11" s="6" t="n">
        <v>4968.05</v>
      </c>
      <c r="D11" s="8" t="n">
        <v>2</v>
      </c>
      <c r="E11" s="8" t="n">
        <v>2</v>
      </c>
      <c r="F11" s="8" t="n">
        <v>3144</v>
      </c>
    </row>
    <row r="12">
      <c r="A12" s="5" t="inlineStr">
        <is>
          <t>Noor Blush Pink Cotton Lined Kurta &amp; Flared Palazzo Set with Kota Doria Dupatta</t>
        </is>
      </c>
      <c r="B12" s="6" t="n">
        <v>3499</v>
      </c>
      <c r="C12" s="6" t="n">
        <v>3499</v>
      </c>
      <c r="D12" s="8" t="n">
        <v>1</v>
      </c>
      <c r="E12" s="8" t="n"/>
      <c r="F12" s="8" t="n"/>
    </row>
    <row r="14" ht="28" customHeight="1">
      <c r="A14" s="1" t="inlineStr">
        <is>
          <t>TOP PRODUCTS — 7-DAY WINDOW (2026-06-23 to 2026-06-29)</t>
        </is>
      </c>
    </row>
    <row r="15">
      <c r="A15" s="4" t="inlineStr">
        <is>
          <t>Product</t>
        </is>
      </c>
      <c r="B15" s="4" t="inlineStr">
        <is>
          <t>Gross Sales</t>
        </is>
      </c>
      <c r="C15" s="4" t="inlineStr">
        <is>
          <t>Net Sales</t>
        </is>
      </c>
      <c r="D15" s="4" t="inlineStr">
        <is>
          <t>Orders</t>
        </is>
      </c>
    </row>
    <row r="16">
      <c r="A16" s="5" t="inlineStr">
        <is>
          <t>Ira Rayon Co-ord Set for Women | Relaxed Fit Shirt Top with Draped Pants</t>
        </is>
      </c>
      <c r="B16" s="6" t="n">
        <v>347361</v>
      </c>
      <c r="C16" s="6" t="n">
        <v>346361.4</v>
      </c>
      <c r="D16" s="8" t="n">
        <v>134</v>
      </c>
    </row>
    <row r="17">
      <c r="A17" s="5" t="inlineStr">
        <is>
          <t>"The Essential" - White Cotton Shirt &amp; Pant Co-ord Set</t>
        </is>
      </c>
      <c r="B17" s="6" t="n">
        <v>104049</v>
      </c>
      <c r="C17" s="6" t="n">
        <v>103644.2</v>
      </c>
      <c r="D17" s="8" t="n">
        <v>49</v>
      </c>
    </row>
    <row r="18">
      <c r="A18" s="5" t="inlineStr">
        <is>
          <t>The Dhurandhar Black Short Kurta Set | A Dhirai Essential</t>
        </is>
      </c>
      <c r="B18" s="6" t="n">
        <v>72366</v>
      </c>
      <c r="C18" s="6" t="n">
        <v>71841.25</v>
      </c>
      <c r="D18" s="8" t="n">
        <v>33</v>
      </c>
    </row>
    <row r="19">
      <c r="A19" s="5" t="inlineStr">
        <is>
          <t>Embroidered Rayon Kurti with Farshi Salwar Set — Elegant Ethnic Co-Ord for Women</t>
        </is>
      </c>
      <c r="B19" s="6" t="n">
        <v>44984</v>
      </c>
      <c r="C19" s="6" t="n">
        <v>43959.57</v>
      </c>
      <c r="D19" s="8" t="n">
        <v>15</v>
      </c>
    </row>
    <row r="20">
      <c r="A20" s="5" t="inlineStr">
        <is>
          <t>Everyday Elegance Cotton Kurta Pant Set</t>
        </is>
      </c>
      <c r="B20" s="6" t="n">
        <v>31984</v>
      </c>
      <c r="C20" s="6" t="n">
        <v>31984</v>
      </c>
      <c r="D20" s="8" t="n">
        <v>16</v>
      </c>
    </row>
    <row r="21">
      <c r="A21" s="5" t="inlineStr">
        <is>
          <t>Sage Aura cotton Kurta Set | DHIRAI</t>
        </is>
      </c>
      <c r="B21" s="6" t="n">
        <v>27687</v>
      </c>
      <c r="C21" s="6" t="n">
        <v>27023.72</v>
      </c>
      <c r="D21" s="8" t="n">
        <v>13</v>
      </c>
    </row>
    <row r="22">
      <c r="A22" s="5" t="inlineStr">
        <is>
          <t>Eclipse Grace Premium Crepe Salwar Suit set | DHIRAI</t>
        </is>
      </c>
      <c r="B22" s="6" t="n">
        <v>27191</v>
      </c>
      <c r="C22" s="6" t="n">
        <v>20045.31</v>
      </c>
      <c r="D22" s="8" t="n">
        <v>9</v>
      </c>
    </row>
    <row r="23">
      <c r="A23" s="5" t="inlineStr">
        <is>
          <t>"Inayat" — Power Pastel Cotton Shirt &amp; Trouser Co-ord Set</t>
        </is>
      </c>
      <c r="B23" s="6" t="n">
        <v>23988</v>
      </c>
      <c r="C23" s="6" t="n">
        <v>23988</v>
      </c>
      <c r="D23" s="8" t="n">
        <v>11</v>
      </c>
    </row>
    <row r="24">
      <c r="A24" s="5" t="inlineStr">
        <is>
          <t>Zehra Co-ord set| DHIRAI</t>
        </is>
      </c>
      <c r="B24" s="6" t="n">
        <v>22591</v>
      </c>
      <c r="C24" s="6" t="n">
        <v>22591</v>
      </c>
      <c r="D24" s="8" t="n">
        <v>9</v>
      </c>
    </row>
    <row r="25">
      <c r="A25" s="5" t="inlineStr">
        <is>
          <t>Black Cotton Kurta Pant Set</t>
        </is>
      </c>
      <c r="B25" s="6" t="n">
        <v>19990</v>
      </c>
      <c r="C25" s="6" t="n">
        <v>19990</v>
      </c>
      <c r="D25" s="8" t="n">
        <v>10</v>
      </c>
    </row>
  </sheetData>
  <autoFilter ref="A2:F12"/>
  <mergeCells count="2">
    <mergeCell ref="A1:F1"/>
    <mergeCell ref="A14:D14"/>
  </mergeCells>
  <conditionalFormatting sqref="F3:F12">
    <cfRule type="cellIs" priority="1" operator="lessThan" dxfId="1">
      <formula>300</formula>
    </cfRule>
    <cfRule type="cellIs" priority="2" operator="between" dxfId="3">
      <formula>300</formula>
      <formula>1000</formula>
    </cfRule>
    <cfRule type="cellIs" priority="3" operator="lessThan" dxfId="1">
      <formula>300</formula>
    </cfRule>
    <cfRule type="cellIs" priority="4" operator="between" dxfId="3">
      <formula>300</formula>
      <formula>1000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12" customWidth="1" min="4" max="4"/>
    <col width="10" customWidth="1" min="5" max="5"/>
    <col width="9" customWidth="1" min="6" max="6"/>
    <col width="9" customWidth="1" min="7" max="7"/>
    <col width="11" customWidth="1" min="8" max="8"/>
    <col width="10" customWidth="1" min="9" max="9"/>
    <col width="9" customWidth="1" min="10" max="10"/>
    <col width="9" customWidth="1" min="11" max="11"/>
    <col width="40" customWidth="1" min="12" max="12"/>
  </cols>
  <sheetData>
    <row r="1" ht="28" customHeight="1">
      <c r="A1" s="1" t="inlineStr">
        <is>
          <t>CAMPAIGN LEVEL — YESTERDAY (2026-06-30)</t>
        </is>
      </c>
    </row>
    <row r="2">
      <c r="A2" s="4" t="inlineStr">
        <is>
          <t>Campaign</t>
        </is>
      </c>
      <c r="B2" s="4" t="inlineStr">
        <is>
          <t>Status</t>
        </is>
      </c>
      <c r="C2" s="4" t="inlineStr">
        <is>
          <t>Spend</t>
        </is>
      </c>
      <c r="D2" s="4" t="inlineStr">
        <is>
          <t>Impressions</t>
        </is>
      </c>
      <c r="E2" s="4" t="inlineStr">
        <is>
          <t>Reach</t>
        </is>
      </c>
      <c r="F2" s="4" t="inlineStr">
        <is>
          <t>Clicks</t>
        </is>
      </c>
      <c r="G2" s="4" t="inlineStr">
        <is>
          <t>CTR</t>
        </is>
      </c>
      <c r="H2" s="4" t="inlineStr">
        <is>
          <t>CPC</t>
        </is>
      </c>
      <c r="I2" s="4" t="inlineStr">
        <is>
          <t>Purchases</t>
        </is>
      </c>
      <c r="J2" s="4" t="inlineStr">
        <is>
          <t>CPA</t>
        </is>
      </c>
      <c r="K2" s="4" t="inlineStr">
        <is>
          <t>ROAS</t>
        </is>
      </c>
    </row>
    <row r="3">
      <c r="A3" s="5" t="inlineStr">
        <is>
          <t>Dhirai Scale -ASC</t>
        </is>
      </c>
      <c r="B3" s="5" t="inlineStr">
        <is>
          <t>ACTIVE</t>
        </is>
      </c>
      <c r="C3" s="6" t="n">
        <v>13867.33</v>
      </c>
      <c r="D3" s="8" t="n">
        <v>40826</v>
      </c>
      <c r="E3" s="8" t="n">
        <v>33800</v>
      </c>
      <c r="F3" s="8" t="n">
        <v>1422</v>
      </c>
      <c r="G3" s="16" t="n">
        <v>3.48</v>
      </c>
      <c r="H3" s="6" t="n">
        <v>9.75</v>
      </c>
      <c r="I3" s="8" t="n">
        <v>15</v>
      </c>
      <c r="J3" s="6" t="n">
        <v>924.49</v>
      </c>
      <c r="K3" s="17" t="n">
        <v>4.73</v>
      </c>
    </row>
    <row r="4">
      <c r="A4" s="5" t="inlineStr">
        <is>
          <t>New Campaign- for recovery</t>
        </is>
      </c>
      <c r="B4" s="5" t="inlineStr">
        <is>
          <t>ACTIVE</t>
        </is>
      </c>
      <c r="C4" s="6" t="n">
        <v>12200.15</v>
      </c>
      <c r="D4" s="8" t="n">
        <v>157390</v>
      </c>
      <c r="E4" s="8" t="n">
        <v>139095</v>
      </c>
      <c r="F4" s="8" t="n">
        <v>1599</v>
      </c>
      <c r="G4" s="16" t="n">
        <v>1.02</v>
      </c>
      <c r="H4" s="6" t="n">
        <v>7.63</v>
      </c>
      <c r="I4" s="8" t="n">
        <v>23</v>
      </c>
      <c r="J4" s="6" t="n">
        <v>530.4400000000001</v>
      </c>
      <c r="K4" s="17" t="n">
        <v>4.75</v>
      </c>
    </row>
    <row r="5">
      <c r="A5" s="5" t="inlineStr">
        <is>
          <t>Black DHURANDHAR</t>
        </is>
      </c>
      <c r="B5" s="5" t="inlineStr">
        <is>
          <t>ACTIVE</t>
        </is>
      </c>
      <c r="C5" s="6" t="n">
        <v>8209.950000000001</v>
      </c>
      <c r="D5" s="8" t="n">
        <v>34702</v>
      </c>
      <c r="E5" s="8" t="n">
        <v>29701</v>
      </c>
      <c r="F5" s="8" t="n">
        <v>1129</v>
      </c>
      <c r="G5" s="16" t="n">
        <v>3.25</v>
      </c>
      <c r="H5" s="6" t="n">
        <v>7.27</v>
      </c>
      <c r="I5" s="8" t="n">
        <v>13</v>
      </c>
      <c r="J5" s="6" t="n">
        <v>631.53</v>
      </c>
      <c r="K5" s="17" t="n">
        <v>3.46</v>
      </c>
    </row>
    <row r="6">
      <c r="A6" s="5" t="inlineStr">
        <is>
          <t>Retargeting- new</t>
        </is>
      </c>
      <c r="B6" s="5" t="inlineStr">
        <is>
          <t>ACTIVE</t>
        </is>
      </c>
      <c r="C6" s="6" t="n">
        <v>6367.53</v>
      </c>
      <c r="D6" s="8" t="n">
        <v>17305</v>
      </c>
      <c r="E6" s="8" t="n">
        <v>11805</v>
      </c>
      <c r="F6" s="8" t="n">
        <v>588</v>
      </c>
      <c r="G6" s="16" t="n">
        <v>3.4</v>
      </c>
      <c r="H6" s="6" t="n">
        <v>10.83</v>
      </c>
      <c r="I6" s="8" t="n">
        <v>6</v>
      </c>
      <c r="J6" s="6" t="n">
        <v>1061.26</v>
      </c>
      <c r="K6" s="17" t="n">
        <v>2.51</v>
      </c>
    </row>
    <row r="8" ht="28" customHeight="1">
      <c r="A8" s="1" t="inlineStr">
        <is>
          <t>AD SET LEVEL — YESTERDAY (2026-06-30)</t>
        </is>
      </c>
    </row>
    <row r="9">
      <c r="A9" s="4" t="inlineStr">
        <is>
          <t>Ad Set</t>
        </is>
      </c>
      <c r="B9" s="4" t="inlineStr">
        <is>
          <t>Campaign</t>
        </is>
      </c>
      <c r="C9" s="4" t="inlineStr">
        <is>
          <t>Status</t>
        </is>
      </c>
      <c r="D9" s="4" t="inlineStr">
        <is>
          <t>Spend</t>
        </is>
      </c>
      <c r="E9" s="4" t="inlineStr">
        <is>
          <t>Impressions</t>
        </is>
      </c>
      <c r="F9" s="4" t="inlineStr">
        <is>
          <t>Clicks</t>
        </is>
      </c>
      <c r="G9" s="4" t="inlineStr">
        <is>
          <t>CTR</t>
        </is>
      </c>
      <c r="H9" s="4" t="inlineStr">
        <is>
          <t>CPC</t>
        </is>
      </c>
      <c r="I9" s="4" t="inlineStr">
        <is>
          <t>Purchases</t>
        </is>
      </c>
      <c r="J9" s="4" t="inlineStr">
        <is>
          <t>CPA</t>
        </is>
      </c>
      <c r="K9" s="4" t="inlineStr">
        <is>
          <t>ROAS</t>
        </is>
      </c>
      <c r="L9" s="4" t="inlineStr">
        <is>
          <t>Notes</t>
        </is>
      </c>
    </row>
    <row r="10">
      <c r="A10" s="5" t="inlineStr">
        <is>
          <t>New Sales Ad Set</t>
        </is>
      </c>
      <c r="B10" s="5" t="inlineStr">
        <is>
          <t>Dhirai Scale -ASC</t>
        </is>
      </c>
      <c r="C10" s="5" t="inlineStr">
        <is>
          <t>ACTIVE</t>
        </is>
      </c>
      <c r="D10" s="6" t="n">
        <v>12610</v>
      </c>
      <c r="E10" s="8" t="n">
        <v>37296</v>
      </c>
      <c r="F10" s="8" t="n">
        <v>1308</v>
      </c>
      <c r="G10" s="16" t="n">
        <v>3.51</v>
      </c>
      <c r="H10" s="6" t="n">
        <v>9.640000000000001</v>
      </c>
      <c r="I10" s="8" t="n">
        <v>14</v>
      </c>
      <c r="J10" s="6" t="n">
        <v>900.71</v>
      </c>
      <c r="K10" s="17" t="n">
        <v>3.56</v>
      </c>
      <c r="L10" s="5" t="inlineStr"/>
    </row>
    <row r="11">
      <c r="A11" s="5" t="inlineStr">
        <is>
          <t>Rayon</t>
        </is>
      </c>
      <c r="B11" s="5" t="inlineStr">
        <is>
          <t>New Campaign- for recovery</t>
        </is>
      </c>
      <c r="C11" s="5" t="inlineStr">
        <is>
          <t>ACTIVE</t>
        </is>
      </c>
      <c r="D11" s="6" t="n">
        <v>12025.93</v>
      </c>
      <c r="E11" s="8" t="n">
        <v>156993</v>
      </c>
      <c r="F11" s="8" t="n">
        <v>1586</v>
      </c>
      <c r="G11" s="16" t="n">
        <v>1.01</v>
      </c>
      <c r="H11" s="6" t="n">
        <v>7.58</v>
      </c>
      <c r="I11" s="8" t="n">
        <v>23</v>
      </c>
      <c r="J11" s="6" t="n">
        <v>522.87</v>
      </c>
      <c r="K11" s="17" t="n">
        <v>4.82</v>
      </c>
      <c r="L11" s="5" t="inlineStr"/>
    </row>
    <row r="12">
      <c r="A12" s="5" t="inlineStr">
        <is>
          <t>Broad</t>
        </is>
      </c>
      <c r="B12" s="5" t="inlineStr">
        <is>
          <t>Black DHURANDHAR</t>
        </is>
      </c>
      <c r="C12" s="5" t="inlineStr">
        <is>
          <t>ACTIVE</t>
        </is>
      </c>
      <c r="D12" s="6" t="n">
        <v>8209.950000000001</v>
      </c>
      <c r="E12" s="8" t="n">
        <v>34702</v>
      </c>
      <c r="F12" s="8" t="n">
        <v>1129</v>
      </c>
      <c r="G12" s="16" t="n">
        <v>3.25</v>
      </c>
      <c r="H12" s="6" t="n">
        <v>7.27</v>
      </c>
      <c r="I12" s="8" t="n">
        <v>13</v>
      </c>
      <c r="J12" s="6" t="n">
        <v>631.53</v>
      </c>
      <c r="K12" s="17" t="n">
        <v>3.46</v>
      </c>
      <c r="L12" s="5" t="inlineStr"/>
    </row>
    <row r="13">
      <c r="A13" s="5" t="inlineStr">
        <is>
          <t>Best performing ads</t>
        </is>
      </c>
      <c r="B13" s="5" t="inlineStr">
        <is>
          <t>Retargeting- new</t>
        </is>
      </c>
      <c r="C13" s="5" t="inlineStr">
        <is>
          <t>ACTIVE</t>
        </is>
      </c>
      <c r="D13" s="6" t="n">
        <v>5698.85</v>
      </c>
      <c r="E13" s="8" t="n">
        <v>15145</v>
      </c>
      <c r="F13" s="8" t="n">
        <v>550</v>
      </c>
      <c r="G13" s="16" t="n">
        <v>3.63</v>
      </c>
      <c r="H13" s="6" t="n">
        <v>10.36</v>
      </c>
      <c r="I13" s="8" t="n">
        <v>6</v>
      </c>
      <c r="J13" s="6" t="n">
        <v>949.8099999999999</v>
      </c>
      <c r="K13" s="17" t="n">
        <v>2.81</v>
      </c>
      <c r="L13" s="5" t="inlineStr"/>
    </row>
    <row r="14">
      <c r="A14" s="5" t="inlineStr">
        <is>
          <t>Karigari</t>
        </is>
      </c>
      <c r="B14" s="5" t="inlineStr">
        <is>
          <t>Dhirai Scale -ASC</t>
        </is>
      </c>
      <c r="C14" s="5" t="inlineStr">
        <is>
          <t>ACTIVE</t>
        </is>
      </c>
      <c r="D14" s="6" t="n">
        <v>1257.33</v>
      </c>
      <c r="E14" s="8" t="n">
        <v>3530</v>
      </c>
      <c r="F14" s="8" t="n">
        <v>114</v>
      </c>
      <c r="G14" s="16" t="n">
        <v>3.23</v>
      </c>
      <c r="H14" s="6" t="n">
        <v>11.03</v>
      </c>
      <c r="I14" s="8" t="n">
        <v>1</v>
      </c>
      <c r="J14" s="6" t="n">
        <v>1257.33</v>
      </c>
      <c r="K14" s="17" t="n">
        <v>16.39</v>
      </c>
      <c r="L14" s="5" t="inlineStr"/>
    </row>
    <row r="15">
      <c r="A15" s="5" t="inlineStr">
        <is>
          <t>Black and multiple</t>
        </is>
      </c>
      <c r="B15" s="5" t="inlineStr">
        <is>
          <t>Retargeting- new</t>
        </is>
      </c>
      <c r="C15" s="5" t="inlineStr">
        <is>
          <t>ACTIVE</t>
        </is>
      </c>
      <c r="D15" s="6" t="n">
        <v>668.6799999999999</v>
      </c>
      <c r="E15" s="8" t="n">
        <v>2160</v>
      </c>
      <c r="F15" s="8" t="n">
        <v>38</v>
      </c>
      <c r="G15" s="16" t="n">
        <v>1.76</v>
      </c>
      <c r="H15" s="6" t="n">
        <v>17.6</v>
      </c>
      <c r="I15" s="8" t="n">
        <v>0</v>
      </c>
      <c r="J15" s="5" t="n"/>
      <c r="K15" s="5" t="n"/>
      <c r="L15" s="5" t="inlineStr">
        <is>
          <t>Narrow audience (13.7K-16.2K) flagged by Meta anomaly signal - may be limiting delivery.</t>
        </is>
      </c>
    </row>
    <row r="16">
      <c r="A16" s="5" t="inlineStr">
        <is>
          <t>Karigar</t>
        </is>
      </c>
      <c r="B16" s="5" t="inlineStr">
        <is>
          <t>New Campaign- for recovery</t>
        </is>
      </c>
      <c r="C16" s="5" t="inlineStr">
        <is>
          <t>ACTIVE</t>
        </is>
      </c>
      <c r="D16" s="6" t="n">
        <v>110</v>
      </c>
      <c r="E16" s="8" t="n">
        <v>212</v>
      </c>
      <c r="F16" s="8" t="n">
        <v>10</v>
      </c>
      <c r="G16" s="16" t="n">
        <v>4.72</v>
      </c>
      <c r="H16" s="6" t="n">
        <v>11</v>
      </c>
      <c r="I16" s="8" t="n">
        <v>0</v>
      </c>
      <c r="J16" s="5" t="n"/>
      <c r="K16" s="5" t="n"/>
      <c r="L16" s="5" t="inlineStr"/>
    </row>
    <row r="17">
      <c r="A17" s="5" t="inlineStr">
        <is>
          <t>White Dhurandhar</t>
        </is>
      </c>
      <c r="B17" s="5" t="inlineStr">
        <is>
          <t>New Campaign- for recovery</t>
        </is>
      </c>
      <c r="C17" s="5" t="inlineStr">
        <is>
          <t>ACTIVE</t>
        </is>
      </c>
      <c r="D17" s="6" t="n">
        <v>37.18</v>
      </c>
      <c r="E17" s="8" t="n">
        <v>118</v>
      </c>
      <c r="F17" s="8" t="n">
        <v>0</v>
      </c>
      <c r="G17" s="5" t="n"/>
      <c r="H17" s="5" t="n"/>
      <c r="I17" s="8" t="n">
        <v>0</v>
      </c>
      <c r="J17" s="5" t="n"/>
      <c r="K17" s="5" t="n"/>
      <c r="L17" s="5" t="inlineStr"/>
    </row>
    <row r="18">
      <c r="A18" s="5" t="inlineStr">
        <is>
          <t>Black Dhurandhar</t>
        </is>
      </c>
      <c r="B18" s="5" t="inlineStr">
        <is>
          <t>New Campaign- for recovery</t>
        </is>
      </c>
      <c r="C18" s="5" t="inlineStr">
        <is>
          <t>ACTIVE</t>
        </is>
      </c>
      <c r="D18" s="6" t="n">
        <v>27.04</v>
      </c>
      <c r="E18" s="8" t="n">
        <v>67</v>
      </c>
      <c r="F18" s="8" t="n">
        <v>3</v>
      </c>
      <c r="G18" s="16" t="n">
        <v>4.48</v>
      </c>
      <c r="H18" s="6" t="n">
        <v>9.01</v>
      </c>
      <c r="I18" s="8" t="n">
        <v>0</v>
      </c>
      <c r="J18" s="5" t="n"/>
      <c r="K18" s="5" t="n"/>
      <c r="L18" s="5" t="inlineStr"/>
    </row>
    <row r="20" ht="28" customHeight="1">
      <c r="A20" s="1" t="inlineStr">
        <is>
          <t>CAMPAIGN LEVEL — 7-DAY WINDOW (2026-06-23 to 2026-06-29)</t>
        </is>
      </c>
    </row>
    <row r="21">
      <c r="A21" s="4" t="inlineStr">
        <is>
          <t>Campaign</t>
        </is>
      </c>
      <c r="B21" s="4" t="inlineStr">
        <is>
          <t>Spend</t>
        </is>
      </c>
      <c r="C21" s="4" t="inlineStr">
        <is>
          <t>Impressions</t>
        </is>
      </c>
      <c r="D21" s="4" t="inlineStr">
        <is>
          <t>Clicks</t>
        </is>
      </c>
      <c r="E21" s="4" t="inlineStr">
        <is>
          <t>CTR</t>
        </is>
      </c>
      <c r="F21" s="4" t="inlineStr">
        <is>
          <t>CPC</t>
        </is>
      </c>
      <c r="G21" s="4" t="inlineStr">
        <is>
          <t>Purchases</t>
        </is>
      </c>
      <c r="H21" s="4" t="inlineStr">
        <is>
          <t>CPA</t>
        </is>
      </c>
      <c r="I21" s="4" t="inlineStr">
        <is>
          <t>ROAS</t>
        </is>
      </c>
    </row>
    <row r="22">
      <c r="A22" s="5" t="inlineStr">
        <is>
          <t>Dhirai Scale -ASC</t>
        </is>
      </c>
      <c r="B22" s="6" t="n">
        <v>96445.03999999999</v>
      </c>
      <c r="C22" s="8" t="n">
        <v>394977</v>
      </c>
      <c r="D22" s="8" t="n">
        <v>12900</v>
      </c>
      <c r="E22" s="16" t="n">
        <v>3.27</v>
      </c>
      <c r="F22" s="6" t="n">
        <v>7.48</v>
      </c>
      <c r="G22" s="8" t="n">
        <v>114</v>
      </c>
      <c r="H22" s="6" t="n">
        <v>846.01</v>
      </c>
      <c r="I22" s="17" t="n">
        <v>3</v>
      </c>
    </row>
    <row r="23">
      <c r="A23" s="5" t="inlineStr">
        <is>
          <t>New Campaign- for recovery</t>
        </is>
      </c>
      <c r="B23" s="6" t="n">
        <v>78625.02</v>
      </c>
      <c r="C23" s="8" t="n">
        <v>986010</v>
      </c>
      <c r="D23" s="8" t="n">
        <v>11151</v>
      </c>
      <c r="E23" s="16" t="n">
        <v>1.13</v>
      </c>
      <c r="F23" s="6" t="n">
        <v>7.05</v>
      </c>
      <c r="G23" s="8" t="n">
        <v>120</v>
      </c>
      <c r="H23" s="6" t="n">
        <v>655.21</v>
      </c>
      <c r="I23" s="17" t="n">
        <v>3.91</v>
      </c>
    </row>
    <row r="24">
      <c r="A24" s="5" t="inlineStr">
        <is>
          <t>Black DHURANDHAR</t>
        </is>
      </c>
      <c r="B24" s="6" t="n">
        <v>56782.12</v>
      </c>
      <c r="C24" s="8" t="n">
        <v>253326</v>
      </c>
      <c r="D24" s="8" t="n">
        <v>7449</v>
      </c>
      <c r="E24" s="16" t="n">
        <v>2.94</v>
      </c>
      <c r="F24" s="6" t="n">
        <v>7.62</v>
      </c>
      <c r="G24" s="8" t="n">
        <v>64</v>
      </c>
      <c r="H24" s="6" t="n">
        <v>887.22</v>
      </c>
      <c r="I24" s="17" t="n">
        <v>2.58</v>
      </c>
    </row>
    <row r="25">
      <c r="A25" s="5" t="inlineStr">
        <is>
          <t>Retargeting- new</t>
        </is>
      </c>
      <c r="B25" s="6" t="n">
        <v>42823.89</v>
      </c>
      <c r="C25" s="8" t="n">
        <v>118748</v>
      </c>
      <c r="D25" s="8" t="n">
        <v>4009</v>
      </c>
      <c r="E25" s="16" t="n">
        <v>3.38</v>
      </c>
      <c r="F25" s="6" t="n">
        <v>10.68</v>
      </c>
      <c r="G25" s="8" t="n">
        <v>79</v>
      </c>
      <c r="H25" s="6" t="n">
        <v>542.0700000000001</v>
      </c>
      <c r="I25" s="17" t="n">
        <v>4.92</v>
      </c>
    </row>
  </sheetData>
  <autoFilter ref="A2:K6"/>
  <mergeCells count="3">
    <mergeCell ref="A8:L8"/>
    <mergeCell ref="A1:K1"/>
    <mergeCell ref="A20:I20"/>
  </mergeCells>
  <conditionalFormatting sqref="K3:K6">
    <cfRule type="cellIs" priority="1" operator="lessThan" dxfId="1">
      <formula>1.5</formula>
    </cfRule>
    <cfRule type="cellIs" priority="2" operator="between" dxfId="2">
      <formula>1.5</formula>
      <formula>3</formula>
    </cfRule>
    <cfRule type="cellIs" priority="3" operator="greaterThan" dxfId="0">
      <formula>3</formula>
    </cfRule>
    <cfRule type="cellIs" priority="12" operator="lessThan" dxfId="1">
      <formula>1.5</formula>
    </cfRule>
    <cfRule type="cellIs" priority="13" operator="between" dxfId="2">
      <formula>1.5</formula>
      <formula>3</formula>
    </cfRule>
    <cfRule type="cellIs" priority="14" operator="greaterThan" dxfId="0">
      <formula>3</formula>
    </cfRule>
  </conditionalFormatting>
  <conditionalFormatting sqref="A3:K6">
    <cfRule type="expression" priority="4" dxfId="3">
      <formula>AND($C3&gt;0,$K3&lt;2)</formula>
    </cfRule>
    <cfRule type="expression" priority="15" dxfId="3">
      <formula>AND($C3&gt;0,$K3&lt;2)</formula>
    </cfRule>
  </conditionalFormatting>
  <conditionalFormatting sqref="K10:K18">
    <cfRule type="cellIs" priority="5" operator="lessThan" dxfId="1">
      <formula>1.5</formula>
    </cfRule>
    <cfRule type="cellIs" priority="6" operator="between" dxfId="2">
      <formula>1.5</formula>
      <formula>3</formula>
    </cfRule>
    <cfRule type="cellIs" priority="7" operator="greaterThan" dxfId="0">
      <formula>3</formula>
    </cfRule>
    <cfRule type="cellIs" priority="16" operator="lessThan" dxfId="1">
      <formula>1.5</formula>
    </cfRule>
    <cfRule type="cellIs" priority="17" operator="between" dxfId="2">
      <formula>1.5</formula>
      <formula>3</formula>
    </cfRule>
    <cfRule type="cellIs" priority="18" operator="greaterThan" dxfId="0">
      <formula>3</formula>
    </cfRule>
  </conditionalFormatting>
  <conditionalFormatting sqref="L10:L18">
    <cfRule type="expression" priority="8" dxfId="2">
      <formula>LEN($L10)&gt;0</formula>
    </cfRule>
    <cfRule type="expression" priority="19" dxfId="2">
      <formula>LEN($L10)&gt;0</formula>
    </cfRule>
  </conditionalFormatting>
  <conditionalFormatting sqref="I22:I25">
    <cfRule type="cellIs" priority="9" operator="lessThan" dxfId="1">
      <formula>1.5</formula>
    </cfRule>
    <cfRule type="cellIs" priority="10" operator="between" dxfId="2">
      <formula>1.5</formula>
      <formula>3</formula>
    </cfRule>
    <cfRule type="cellIs" priority="11" operator="greaterThan" dxfId="0">
      <formula>3</formula>
    </cfRule>
    <cfRule type="cellIs" priority="20" operator="lessThan" dxfId="1">
      <formula>1.5</formula>
    </cfRule>
    <cfRule type="cellIs" priority="21" operator="between" dxfId="2">
      <formula>1.5</formula>
      <formula>3</formula>
    </cfRule>
    <cfRule type="cellIs" priority="22" operator="greaterThan" dxfId="0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0" customWidth="1" min="2" max="2"/>
  </cols>
  <sheetData>
    <row r="1" ht="28" customHeight="1">
      <c r="A1" s="1" t="inlineStr">
        <is>
          <t>RECOMMENDATIONS &amp; NOTES — 2026-06-30</t>
        </is>
      </c>
    </row>
    <row r="3">
      <c r="A3" s="13" t="inlineStr">
        <is>
          <t>KEY WINS</t>
        </is>
      </c>
    </row>
    <row r="4">
      <c r="A4" s="5" t="n">
        <v>1</v>
      </c>
      <c r="B4" s="14" t="inlineStr">
        <is>
          <t>Gross sales up +17.1% vs 7-day avg (₹170,229 vs ₹145,428); net sales up +20.6%.</t>
        </is>
      </c>
    </row>
    <row r="5">
      <c r="A5" s="5" t="n">
        <v>2</v>
      </c>
      <c r="B5" s="14" t="inlineStr">
        <is>
          <t>Blended Meta ROAS at 4.13x, up +17.9% vs 7-day avg (3.50x).</t>
        </is>
      </c>
    </row>
    <row r="6">
      <c r="A6" s="5" t="n">
        <v>3</v>
      </c>
      <c r="B6" s="14" t="inlineStr">
        <is>
          <t>'New Campaign- for recovery' was the top campaign yesterday: 4.75x ROAS on ₹12,200 spend, 23 purchases.</t>
        </is>
      </c>
    </row>
    <row r="7">
      <c r="A7" s="5" t="n">
        <v>4</v>
      </c>
      <c r="B7" s="14" t="inlineStr">
        <is>
          <t>Zero product returns recorded yesterday vs a 7-day average return drag of ₹-4,970/day.</t>
        </is>
      </c>
    </row>
    <row r="8">
      <c r="A8" s="5" t="n">
        <v>5</v>
      </c>
      <c r="B8" s="14" t="inlineStr">
        <is>
          <t>'Ira Rayon Co-ord Set for Women | Relaxed Fit Shirt Top with Draped Pants' remains the best seller (₹59,976, 24 orders) with healthy stock (15,560 units).</t>
        </is>
      </c>
    </row>
    <row r="10">
      <c r="A10" s="13" t="inlineStr">
        <is>
          <t>KEY ISSUES</t>
        </is>
      </c>
    </row>
    <row r="11">
      <c r="A11" s="5" t="n">
        <v>1</v>
      </c>
      <c r="B11" s="14" t="inlineStr">
        <is>
          <t>Clicks down -6.6% vs 7-day avg despite similar spend — slight efficiency dip.</t>
        </is>
      </c>
    </row>
    <row r="12">
      <c r="A12" s="5" t="n">
        <v>2</v>
      </c>
      <c r="B12" s="14" t="inlineStr">
        <is>
          <t>'Retargeting- new' is the weakest campaign yesterday: 2.51x ROAS, highest CPA at ₹1,061.</t>
        </is>
      </c>
    </row>
    <row r="13">
      <c r="A13" s="5" t="n">
        <v>3</v>
      </c>
      <c r="B13" s="14" t="inlineStr">
        <is>
          <t>Ad set 'Black and multiple' flagged by Meta for a narrow audience (13.7K–16.2K) — likely capping delivery.</t>
        </is>
      </c>
    </row>
    <row r="14">
      <c r="A14" s="5" t="n">
        <v>4</v>
      </c>
      <c r="B14" s="14" t="inlineStr">
        <is>
          <t>Shopify session-based conversion rate is showing ~0% across all 8 days despite real completed orders — looks like an attribution/session-matching lag, not an actual conversion problem. Needs a pixel/GA4 check.</t>
        </is>
      </c>
    </row>
    <row r="16">
      <c r="A16" s="13" t="inlineStr">
        <is>
          <t>RECOMMENDED ACTIONS FOR TODAY</t>
        </is>
      </c>
    </row>
    <row r="17">
      <c r="A17" s="5" t="n">
        <v>1</v>
      </c>
      <c r="B17" s="14" t="inlineStr">
        <is>
          <t>Scale 'New Campaign- for recovery' — best ROAS (4.75x) and volume yesterday; increase daily budget by ~15-20%.</t>
        </is>
      </c>
    </row>
    <row r="18">
      <c r="A18" s="5" t="n">
        <v>2</v>
      </c>
      <c r="B18" s="14" t="inlineStr">
        <is>
          <t>Review or pause underperforming elements of 'Retargeting- new' — ROAS 2.51x and CPA ₹1,061 are the weakest in the account; refresh creative or tighten the retargeting window.</t>
        </is>
      </c>
    </row>
    <row r="19">
      <c r="A19" s="5" t="n">
        <v>3</v>
      </c>
      <c r="B19" s="14" t="inlineStr">
        <is>
          <t>Expand the audience (or turn off Advantage+ narrowing) for the 'Black and multiple' ad set — flagged as narrow, likely limiting reach.</t>
        </is>
      </c>
    </row>
    <row r="20">
      <c r="A20" s="5" t="n">
        <v>4</v>
      </c>
      <c r="B20" s="14" t="inlineStr">
        <is>
          <t>Investigate Shopify checkout/session tracking — conversion rate reads ~0% despite 57 real orders yesterday; verify pixel/GA4 event wiring so attribution data can be trusted.</t>
        </is>
      </c>
    </row>
    <row r="21">
      <c r="A21" s="5" t="n">
        <v>5</v>
      </c>
      <c r="B21" s="14" t="inlineStr">
        <is>
          <t>Maintain spend on 'New Campaign- for recovery' and check inventory/pages for top sellers — 'Ira Rayon Co-ord Set for Women | Relaxed Fit Shirt Top with Draped Pants' is driving outsized volume.</t>
        </is>
      </c>
    </row>
    <row r="22">
      <c r="A22" s="5" t="n">
        <v>6</v>
      </c>
      <c r="B22" s="14" t="inlineStr">
        <is>
          <t>Set up (or verify) abandoned checkout recovery emails — could not confirm current recovery flow status from available data sources.</t>
        </is>
      </c>
    </row>
    <row r="24">
      <c r="A24" s="13" t="inlineStr">
        <is>
          <t>DATA NOTES / METRICS UNAVAILABLE TODAY</t>
        </is>
      </c>
    </row>
    <row r="25">
      <c r="A25" s="5" t="n">
        <v>1</v>
      </c>
      <c r="B25" s="14" t="inlineStr">
        <is>
          <t>Failed payments: not exposed by the connected Shopify MCP tools — no field/tool available to isolate failed payment attempts.</t>
        </is>
      </c>
    </row>
    <row r="26">
      <c r="A26" s="5" t="n">
        <v>2</v>
      </c>
      <c r="B26" s="14" t="inlineStr">
        <is>
          <t>Abandoned checkouts: no dedicated tool available via the connected Shopify MCP server; Shopify Admin UI (Analytics &gt; Checkout behaviour) required to pull this.</t>
        </is>
      </c>
    </row>
    <row r="27">
      <c r="A27" s="5" t="n">
        <v>3</v>
      </c>
      <c r="B27" s="14" t="inlineStr">
        <is>
          <t>Cancellations: a targeted order search for cancelled/refunded/voided orders on 2026-06-30 returned zero matches; cannot fully rule out gaps in the connected server's query syntax support.</t>
        </is>
      </c>
    </row>
    <row r="28">
      <c r="A28" s="5" t="n">
        <v>4</v>
      </c>
      <c r="B28" s="14" t="inlineStr">
        <is>
          <t>Session-based conversion rate is showing ~0% for all 8 days despite real completed orders (57 orders on 2026-06-30 alone) - this looks like a Shopify Analytics attribution/session-matching lag, not zero conversions. Flagged for review rather than trusted at face value.</t>
        </is>
      </c>
    </row>
    <row r="29">
      <c r="A29" s="5" t="n">
        <v>5</v>
      </c>
      <c r="B29" s="14" t="inlineStr">
        <is>
          <t>Ad-level (individual creative) breakdown was not pulled today to keep the report concise - campaign and ad set level fully cover best/worst performance.</t>
        </is>
      </c>
    </row>
    <row r="31">
      <c r="A31" s="13" t="inlineStr">
        <is>
          <t>META ANOMALY SIGNALS</t>
        </is>
      </c>
    </row>
    <row r="32">
      <c r="A32" s="5" t="n">
        <v>1</v>
      </c>
      <c r="B32" s="14" t="inlineStr">
        <is>
          <t>Ad set 'Black and multiple' (Retargeting- new campaign) is actively delivering to a narrow estimated audience (13,700-16,200) - Meta flags this as limiting reach/delivery efficiency.</t>
        </is>
      </c>
    </row>
  </sheetData>
  <mergeCells count="6">
    <mergeCell ref="A24:B24"/>
    <mergeCell ref="A16:B16"/>
    <mergeCell ref="A10:B10"/>
    <mergeCell ref="A1:B1"/>
    <mergeCell ref="A31:B3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2026-07-01T17:50:38Z</dcterms:created>
  <dcterms:modified xsi:type="dcterms:W3CDTF">2026-07-01T17:51:40Z</dcterms:modified>
</cp:coreProperties>
</file>