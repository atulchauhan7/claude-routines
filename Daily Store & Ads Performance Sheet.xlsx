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hopify Daily Data" sheetId="2" state="visible" r:id="rId2"/>
    <sheet name="Meta Ads Daily Data" sheetId="3" state="visible" r:id="rId3"/>
    <sheet name="Product Performance" sheetId="4" state="visible" r:id="rId4"/>
    <sheet name="Campaign Performance" sheetId="5" state="visible" r:id="rId5"/>
    <sheet name="Recommendations &amp; Notes" sheetId="6" state="visible" r:id="rId6"/>
  </sheets>
  <definedNames>
    <definedName name="_xlnm._FilterDatabase" localSheetId="1" hidden="1">'Shopify Daily Data'!$A$1:$N$9</definedName>
    <definedName name="_xlnm._FilterDatabase" localSheetId="2" hidden="1">'Meta Ads Daily Data'!$A$1:$K$9</definedName>
    <definedName name="_xlnm._FilterDatabase" localSheetId="3" hidden="1">'Product Performance'!$A$2:$H$12</definedName>
    <definedName name="_xlnm._FilterDatabase" localSheetId="4" hidden="1">'Campaign Performance'!$A$2:$L$6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₹&quot;#,##0.00"/>
    <numFmt numFmtId="165" formatCode="0.00&quot;%&quot;"/>
    <numFmt numFmtId="166" formatCode="0.00&quot;x&quot;"/>
    <numFmt numFmtId="167" formatCode="&quot;₹&quot;#,##0"/>
    <numFmt numFmtId="168" formatCode="+0.0&quot;%&quot;;-0.0&quot;%&quot;;0.0&quot;%&quot;"/>
    <numFmt numFmtId="169" formatCode="0.0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3"/>
    </font>
    <font>
      <b val="1"/>
      <color rgb="001F1F1F"/>
    </font>
    <font>
      <b val="1"/>
      <color rgb="00FFFFFF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2C5CD6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3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5" fillId="4" borderId="0" applyAlignment="1" pivotButton="0" quotePrefix="0" xfId="0">
      <alignment vertical="center"/>
    </xf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3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7E9C0"/>
        </patternFill>
      </fill>
    </dxf>
    <dxf>
      <fill>
        <patternFill patternType="solid">
          <fgColor rgb="00F4C6C6"/>
        </patternFill>
      </fill>
    </dxf>
    <dxf>
      <fill>
        <patternFill patternType="solid">
          <fgColor rgb="00FFEFA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Sales Trend (₹)</a:t>
            </a:r>
          </a:p>
        </rich>
      </tx>
    </title>
    <plotArea>
      <lineChart>
        <grouping val="standard"/>
        <ser>
          <idx val="0"/>
          <order val="0"/>
          <tx>
            <strRef>
              <f>'Shopify Daily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'Shopify Daily Data'!$A$2:$A$9</f>
            </numRef>
          </cat>
          <val>
            <numRef>
              <f>'Shopify Daily 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Orders Trend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'Shopify Daily Data'!D1</f>
            </strRef>
          </tx>
          <spPr>
            <a:ln>
              <a:prstDash val="solid"/>
            </a:ln>
          </spPr>
          <cat>
            <numRef>
              <f>'Shopify Daily Data'!$A$2:$A$9</f>
            </numRef>
          </cat>
          <val>
            <numRef>
              <f>'Shopify Daily Data'!$D$2:$D$9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 Spend Trend (₹)</a:t>
            </a:r>
          </a:p>
        </rich>
      </tx>
    </title>
    <plotArea>
      <lineChart>
        <grouping val="standard"/>
        <ser>
          <idx val="0"/>
          <order val="0"/>
          <tx>
            <strRef>
              <f>'Meta Ads Daily 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'Meta Ads Daily Data'!$A$2:$A$9</f>
            </numRef>
          </cat>
          <val>
            <numRef>
              <f>'Meta Ads Daily 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ROAS Trend</a:t>
            </a:r>
          </a:p>
        </rich>
      </tx>
    </title>
    <plotArea>
      <lineChart>
        <grouping val="standard"/>
        <ser>
          <idx val="0"/>
          <order val="0"/>
          <tx>
            <strRef>
              <f>'Meta Ads Daily Data'!K1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'Meta Ads Daily Data'!$A$2:$A$9</f>
            </numRef>
          </cat>
          <val>
            <numRef>
              <f>'Meta Ads Daily Data'!$K$2:$K$9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Products — Gross Sales (₹, Yesterday)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Performance'!B2</f>
            </strRef>
          </tx>
          <spPr>
            <a:ln>
              <a:prstDash val="solid"/>
            </a:ln>
          </spPr>
          <cat>
            <numRef>
              <f>'Product Performance'!$A$3:$A$12</f>
            </numRef>
          </cat>
          <val>
            <numRef>
              <f>'Product Performance'!$B$3:$B$12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Campaigns — Spend (₹, Yesterday)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'Campaign Performance'!C2</f>
            </strRef>
          </tx>
          <spPr>
            <a:ln>
              <a:prstDash val="solid"/>
            </a:ln>
          </spPr>
          <cat>
            <numRef>
              <f>'Campaign Performance'!$A$3:$A$6</f>
            </numRef>
          </cat>
          <val>
            <numRef>
              <f>'Campaign Performance'!$C$3:$C$6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54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71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71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</cols>
  <sheetData>
    <row r="1" ht="26" customHeight="1">
      <c r="A1" s="1" t="inlineStr">
        <is>
          <t>DAILY STORE &amp; ADS PERFORMANCE — 2026-07-09</t>
        </is>
      </c>
      <c r="B1" s="1" t="n"/>
      <c r="C1" s="1" t="n"/>
      <c r="D1" s="1" t="n"/>
    </row>
    <row r="2">
      <c r="A2" t="inlineStr"/>
      <c r="B2" t="inlineStr"/>
      <c r="C2" t="inlineStr"/>
      <c r="D2" t="inlineStr"/>
    </row>
    <row r="3" ht="20" customHeight="1">
      <c r="A3" s="2" t="inlineStr">
        <is>
          <t>EXECUTIVE SUMMARY</t>
        </is>
      </c>
      <c r="B3" s="2" t="n"/>
      <c r="C3" s="2" t="n"/>
      <c r="D3" s="2" t="n"/>
    </row>
    <row r="4">
      <c r="A4" s="3" t="inlineStr">
        <is>
          <t>Yesterday's gross sales were ₹190,835 across 73 orders (+23.6% vs the 7-day average of ₹154,457).</t>
        </is>
      </c>
    </row>
    <row r="5">
      <c r="A5" s="3" t="inlineStr">
        <is>
          <t>Meta Ads spent ₹43,291, driving 66 attributed purchases at a 3.88x blended ROAS (+10.4% vs 7-day avg 3.51x).</t>
        </is>
      </c>
    </row>
    <row r="6" ht="20" customHeight="1">
      <c r="A6" s="2" t="inlineStr">
        <is>
          <t>SHOPIFY PERFORMANCE — YESTERDAY vs 7-DAY AVG</t>
        </is>
      </c>
      <c r="B6" s="2" t="n"/>
      <c r="C6" s="2" t="n"/>
      <c r="D6" s="2" t="n"/>
    </row>
    <row r="7" ht="18" customHeight="1">
      <c r="A7" s="4" t="inlineStr">
        <is>
          <t>Metric</t>
        </is>
      </c>
      <c r="B7" s="4" t="inlineStr">
        <is>
          <t>Yesterday</t>
        </is>
      </c>
      <c r="C7" s="4" t="inlineStr">
        <is>
          <t>7-Day Avg</t>
        </is>
      </c>
      <c r="D7" s="4" t="inlineStr">
        <is>
          <t>Change vs Avg</t>
        </is>
      </c>
    </row>
    <row r="8">
      <c r="A8" t="inlineStr">
        <is>
          <t>Gross Sales</t>
        </is>
      </c>
      <c r="B8" s="5" t="n">
        <v>190834.8</v>
      </c>
      <c r="C8" s="5" t="n">
        <v>154457.3</v>
      </c>
      <c r="D8" s="6" t="n">
        <v>23.55181658620212</v>
      </c>
    </row>
    <row r="9">
      <c r="A9" t="inlineStr">
        <is>
          <t>Net Sales</t>
        </is>
      </c>
      <c r="B9" s="5" t="n">
        <v>186473.48</v>
      </c>
      <c r="C9" s="5" t="n">
        <v>151588.7</v>
      </c>
      <c r="D9" s="6" t="n">
        <v>23.01277929733441</v>
      </c>
    </row>
    <row r="10">
      <c r="A10" t="inlineStr">
        <is>
          <t>Orders</t>
        </is>
      </c>
      <c r="B10" s="7" t="n">
        <v>73</v>
      </c>
      <c r="C10" s="7" t="n">
        <v>62.9</v>
      </c>
      <c r="D10" s="6" t="n">
        <v>16.13636363636364</v>
      </c>
    </row>
    <row r="11">
      <c r="A11" t="inlineStr">
        <is>
          <t>Avg Order Value</t>
        </is>
      </c>
      <c r="B11" s="5" t="n">
        <v>2588.664</v>
      </c>
      <c r="C11" s="5" t="n">
        <v>2419.5</v>
      </c>
      <c r="D11" s="6" t="n">
        <v>6.992488474805754</v>
      </c>
    </row>
    <row r="12">
      <c r="A12" t="inlineStr">
        <is>
          <t>Sessions</t>
        </is>
      </c>
      <c r="B12" s="8" t="n">
        <v>4005</v>
      </c>
      <c r="C12" s="8" t="n">
        <v>3773.3</v>
      </c>
      <c r="D12" s="6" t="n">
        <v>6.140915458297052</v>
      </c>
    </row>
    <row r="13" ht="20" customHeight="1">
      <c r="A13" s="2" t="inlineStr">
        <is>
          <t>META ADS PERFORMANCE — YESTERDAY vs 7-DAY AVG</t>
        </is>
      </c>
      <c r="B13" s="2" t="n"/>
      <c r="C13" s="2" t="n"/>
      <c r="D13" s="2" t="n"/>
    </row>
    <row r="14" ht="18" customHeight="1">
      <c r="A14" s="4" t="inlineStr">
        <is>
          <t>Metric</t>
        </is>
      </c>
      <c r="B14" s="4" t="inlineStr">
        <is>
          <t>Yesterday</t>
        </is>
      </c>
      <c r="C14" s="4" t="inlineStr">
        <is>
          <t>7-Day Avg</t>
        </is>
      </c>
      <c r="D14" s="4" t="inlineStr">
        <is>
          <t>Change vs Avg</t>
        </is>
      </c>
    </row>
    <row r="15">
      <c r="A15" t="inlineStr">
        <is>
          <t>Spend</t>
        </is>
      </c>
      <c r="B15" s="5" t="n">
        <v>43290.61</v>
      </c>
      <c r="C15" s="5" t="n">
        <v>41301.04</v>
      </c>
      <c r="D15" s="6" t="n">
        <v>4.817228592386686</v>
      </c>
    </row>
    <row r="16">
      <c r="A16" t="inlineStr">
        <is>
          <t>Purchases</t>
        </is>
      </c>
      <c r="B16" s="7" t="n">
        <v>66</v>
      </c>
      <c r="C16" s="7" t="n">
        <v>60.57</v>
      </c>
      <c r="D16" s="6" t="n">
        <v>8.962264150943399</v>
      </c>
    </row>
    <row r="17">
      <c r="A17" t="inlineStr">
        <is>
          <t>CPA</t>
        </is>
      </c>
      <c r="B17" s="5" t="n">
        <v>655.92</v>
      </c>
      <c r="C17" s="5" t="n">
        <v>685.95</v>
      </c>
      <c r="D17" s="6" t="n">
        <v>-4.378467536362289</v>
      </c>
    </row>
    <row r="18">
      <c r="A18" t="inlineStr">
        <is>
          <t>ROAS</t>
        </is>
      </c>
      <c r="B18" s="9" t="n">
        <v>3.88</v>
      </c>
      <c r="C18" s="9" t="n">
        <v>3.51</v>
      </c>
      <c r="D18" s="6" t="n">
        <v>10.40294240875631</v>
      </c>
    </row>
    <row r="19">
      <c r="A19" t="inlineStr">
        <is>
          <t>CTR (%)</t>
        </is>
      </c>
      <c r="B19" s="10" t="n">
        <v>2.33</v>
      </c>
      <c r="C19" s="10" t="n">
        <v>2.08</v>
      </c>
      <c r="D19" s="6" t="n">
        <v>12.17331499312244</v>
      </c>
    </row>
    <row r="20" ht="20" customHeight="1">
      <c r="A20" s="2" t="inlineStr">
        <is>
          <t>KEY WINS</t>
        </is>
      </c>
      <c r="B20" s="2" t="n"/>
      <c r="C20" s="2" t="n"/>
      <c r="D20" s="2" t="n"/>
    </row>
    <row r="21">
      <c r="A21" s="3" t="inlineStr">
        <is>
          <t>✅ Gross sales up 23.6% vs 7-day avg (₹190,835 vs ₹154,457) — best day of the week.</t>
        </is>
      </c>
    </row>
    <row r="22">
      <c r="A22" s="3" t="inlineStr">
        <is>
          <t>✅ Orders up 16.1% vs 7-day avg (73 vs 62.9).</t>
        </is>
      </c>
    </row>
    <row r="23">
      <c r="A23" s="3" t="inlineStr">
        <is>
          <t>✅ Blended Meta ROAS 3.88x, up 10.4% vs 7-day avg (3.51x).</t>
        </is>
      </c>
    </row>
    <row r="24">
      <c r="A24" s="3" t="inlineStr">
        <is>
          <t>✅ 'Retargeting- new' campaign led with 6.76x ROAS at ₹383 CPA — strong candidate to scale.</t>
        </is>
      </c>
    </row>
    <row r="25" ht="20" customHeight="1">
      <c r="A25" s="2" t="inlineStr">
        <is>
          <t>KEY ISSUES</t>
        </is>
      </c>
      <c r="B25" s="2" t="n"/>
      <c r="C25" s="2" t="n"/>
      <c r="D25" s="2" t="n"/>
    </row>
    <row r="26">
      <c r="A26" s="3" t="inlineStr">
        <is>
          <t>⚠️ '"Utsav" - Mal Cotton Full Flare Anarkali Suit Set with Silver Gota' is OUT OF STOCK (0 units) but still ACTIVE — All 3 variants (S/Yellow, S/Lavender, S/Pink) at 0 units - live on site with no stock</t>
        </is>
      </c>
    </row>
    <row r="27">
      <c r="A27" s="3" t="inlineStr">
        <is>
          <t>⚠️ 'Rayon' ad set spent ₹13,125 at only 1.90x ROAS — review creative/targeting or reallocate budget.</t>
        </is>
      </c>
    </row>
    <row r="28">
      <c r="A28" s="3" t="inlineStr">
        <is>
          <t>⚠️ 'New Sales Ad Set' ad set spent ₹11,224 at only 2.14x ROAS — review creative/targeting or reallocate budget.</t>
        </is>
      </c>
    </row>
    <row r="29">
      <c r="A29" s="3" t="inlineStr">
        <is>
          <t>⚠️ 'Black Dhurandhar' ad set spent ₹464 with zero tracked purchases.</t>
        </is>
      </c>
    </row>
    <row r="30" ht="20" customHeight="1">
      <c r="A30" s="2" t="inlineStr">
        <is>
          <t>RECOMMENDED ACTIONS TODAY</t>
        </is>
      </c>
      <c r="B30" s="2" t="n"/>
      <c r="C30" s="2" t="n"/>
      <c r="D30" s="2" t="n"/>
    </row>
    <row r="31">
      <c r="A31" s="3" t="inlineStr">
        <is>
          <t>1. Consolidate the 4 similar ad sets in 'New Campaign- for recovery' (Rayon, Karigar, White Dhurandhar, Black Dhurandhar) - Meta flags audience/creative fragmentation slowing the learning phase (+7 pt lift).</t>
        </is>
      </c>
    </row>
    <row r="32">
      <c r="A32" s="3" t="inlineStr">
        <is>
          <t>2. 'Black and multiple' ad set has a narrow audience (20.1K-23.6K reach) - consider expanding or testing Advantage+ audience.</t>
        </is>
      </c>
    </row>
    <row r="33">
      <c r="A33" s="3" t="inlineStr">
        <is>
          <t>3. Try Maximise-Conversions goal at account level for an estimated 17% lower cost per result.</t>
        </is>
      </c>
    </row>
    <row r="34">
      <c r="A34" s="3" t="inlineStr">
        <is>
          <t>4. Pause or rework 'Rayon' (largest spend at low ROAS) and shift budget toward 'Retargeting- new' and 'White Dhurandhar'.</t>
        </is>
      </c>
    </row>
    <row r="35">
      <c r="A35" s="3" t="inlineStr">
        <is>
          <t>5. Restock or unpublish '"Utsav" - Mal Cotton Full Flare Anarkali Suit Set with Silver Gota' to stop wasting ad traffic on an out-of-stock listing.</t>
        </is>
      </c>
    </row>
  </sheetData>
  <mergeCells count="22">
    <mergeCell ref="A5:D5"/>
    <mergeCell ref="A23:D23"/>
    <mergeCell ref="A22:D22"/>
    <mergeCell ref="A35:D35"/>
    <mergeCell ref="A4:D4"/>
    <mergeCell ref="A20:D20"/>
    <mergeCell ref="A29:D29"/>
    <mergeCell ref="A28:D28"/>
    <mergeCell ref="A13:D13"/>
    <mergeCell ref="A31:D31"/>
    <mergeCell ref="A34:D34"/>
    <mergeCell ref="A30:D30"/>
    <mergeCell ref="A24:D24"/>
    <mergeCell ref="A1:D1"/>
    <mergeCell ref="A6:D6"/>
    <mergeCell ref="A25:D25"/>
    <mergeCell ref="A27:D27"/>
    <mergeCell ref="A3:D3"/>
    <mergeCell ref="A21:D21"/>
    <mergeCell ref="A26:D26"/>
    <mergeCell ref="A33:D33"/>
    <mergeCell ref="A32:D32"/>
  </mergeCells>
  <conditionalFormatting sqref="D8:D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15:D1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0" customWidth="1" min="4" max="4"/>
    <col width="10" customWidth="1" min="5" max="5"/>
    <col width="13" customWidth="1" min="6" max="6"/>
    <col width="11" customWidth="1" min="7" max="7"/>
    <col width="10" customWidth="1" min="8" max="8"/>
    <col width="10" customWidth="1" min="9" max="9"/>
    <col width="10" customWidth="1" min="10" max="10"/>
    <col width="11" customWidth="1" min="11" max="11"/>
    <col width="18" customWidth="1" min="12" max="12"/>
    <col width="20" customWidth="1" min="13" max="13"/>
    <col width="22" customWidth="1" min="14" max="14"/>
  </cols>
  <sheetData>
    <row r="1" ht="20" customHeight="1">
      <c r="A1" s="2" t="inlineStr">
        <is>
          <t>Date</t>
        </is>
      </c>
      <c r="B1" s="2" t="inlineStr">
        <is>
          <t>Gross Sales</t>
        </is>
      </c>
      <c r="C1" s="2" t="inlineStr">
        <is>
          <t>Net Sales</t>
        </is>
      </c>
      <c r="D1" s="2" t="inlineStr">
        <is>
          <t>Orders</t>
        </is>
      </c>
      <c r="E1" s="2" t="inlineStr">
        <is>
          <t>AOV</t>
        </is>
      </c>
      <c r="F1" s="2" t="inlineStr">
        <is>
          <t>Total Sales</t>
        </is>
      </c>
      <c r="G1" s="2" t="inlineStr">
        <is>
          <t>Discounts</t>
        </is>
      </c>
      <c r="H1" s="2" t="inlineStr">
        <is>
          <t>Returns</t>
        </is>
      </c>
      <c r="I1" s="2" t="inlineStr">
        <is>
          <t>Taxes</t>
        </is>
      </c>
      <c r="J1" s="2" t="inlineStr">
        <is>
          <t>Sessions</t>
        </is>
      </c>
      <c r="K1" s="2" t="inlineStr">
        <is>
          <t>Cart Adds</t>
        </is>
      </c>
      <c r="L1" s="2" t="inlineStr">
        <is>
          <t>Reached Checkout</t>
        </is>
      </c>
      <c r="M1" s="2" t="inlineStr">
        <is>
          <t>Completed Checkout</t>
        </is>
      </c>
      <c r="N1" s="2" t="inlineStr">
        <is>
          <t>Conversion Rate</t>
        </is>
      </c>
    </row>
    <row r="2">
      <c r="A2" t="inlineStr">
        <is>
          <t>2026-07-02</t>
        </is>
      </c>
      <c r="B2" s="11" t="n">
        <v>173525</v>
      </c>
      <c r="C2" s="11" t="n">
        <v>170132.31</v>
      </c>
      <c r="D2" t="n">
        <v>69</v>
      </c>
      <c r="E2" s="11" t="n">
        <v>2465.685</v>
      </c>
      <c r="F2" s="11" t="n">
        <v>170132.31</v>
      </c>
      <c r="G2" s="11" t="n">
        <v>-3392.69</v>
      </c>
      <c r="H2" s="11" t="n">
        <v>0</v>
      </c>
      <c r="I2" s="11" t="n">
        <v>0</v>
      </c>
      <c r="J2" t="n">
        <v>3696</v>
      </c>
      <c r="K2" t="n">
        <v>237</v>
      </c>
      <c r="L2" t="n">
        <v>1</v>
      </c>
      <c r="M2" t="n">
        <v>0</v>
      </c>
      <c r="N2" s="12" t="n">
        <v>0</v>
      </c>
    </row>
    <row r="3">
      <c r="A3" t="inlineStr">
        <is>
          <t>2026-07-03</t>
        </is>
      </c>
      <c r="B3" s="11" t="n">
        <v>164030</v>
      </c>
      <c r="C3" s="11" t="n">
        <v>161868.78</v>
      </c>
      <c r="D3" t="n">
        <v>65</v>
      </c>
      <c r="E3" s="11" t="n">
        <v>2490.288</v>
      </c>
      <c r="F3" s="11" t="n">
        <v>161868.78</v>
      </c>
      <c r="G3" s="11" t="n">
        <v>-2161.22</v>
      </c>
      <c r="H3" s="11" t="n">
        <v>0</v>
      </c>
      <c r="I3" s="11" t="n">
        <v>0</v>
      </c>
      <c r="J3" t="n">
        <v>3749</v>
      </c>
      <c r="K3" t="n">
        <v>207</v>
      </c>
      <c r="L3" t="n">
        <v>0</v>
      </c>
      <c r="M3" t="n">
        <v>0</v>
      </c>
      <c r="N3" s="12" t="n">
        <v>0</v>
      </c>
    </row>
    <row r="4">
      <c r="A4" t="inlineStr">
        <is>
          <t>2026-07-04</t>
        </is>
      </c>
      <c r="B4" s="11" t="n">
        <v>125346</v>
      </c>
      <c r="C4" s="11" t="n">
        <v>124686.3</v>
      </c>
      <c r="D4" t="n">
        <v>52</v>
      </c>
      <c r="E4" s="11" t="n">
        <v>2397.813</v>
      </c>
      <c r="F4" s="11" t="n">
        <v>124686.3</v>
      </c>
      <c r="G4" s="11" t="n">
        <v>-659.7</v>
      </c>
      <c r="H4" s="11" t="n">
        <v>0</v>
      </c>
      <c r="I4" s="11" t="n">
        <v>0</v>
      </c>
      <c r="J4" t="n">
        <v>3161</v>
      </c>
      <c r="K4" t="n">
        <v>178</v>
      </c>
      <c r="L4" t="n">
        <v>0</v>
      </c>
      <c r="M4" t="n">
        <v>0</v>
      </c>
      <c r="N4" s="12" t="n">
        <v>0</v>
      </c>
    </row>
    <row r="5">
      <c r="A5" t="inlineStr">
        <is>
          <t>2026-07-05</t>
        </is>
      </c>
      <c r="B5" s="11" t="n">
        <v>165826</v>
      </c>
      <c r="C5" s="11" t="n">
        <v>159959.97</v>
      </c>
      <c r="D5" t="n">
        <v>66</v>
      </c>
      <c r="E5" s="11" t="n">
        <v>2423.635</v>
      </c>
      <c r="F5" s="11" t="n">
        <v>159959.97</v>
      </c>
      <c r="G5" s="11" t="n">
        <v>-5866.03</v>
      </c>
      <c r="H5" s="11" t="n">
        <v>0</v>
      </c>
      <c r="I5" s="11" t="n">
        <v>0</v>
      </c>
      <c r="J5" t="n">
        <v>4087</v>
      </c>
      <c r="K5" t="n">
        <v>229</v>
      </c>
      <c r="L5" t="n">
        <v>2</v>
      </c>
      <c r="M5" t="n">
        <v>0</v>
      </c>
      <c r="N5" s="12" t="n">
        <v>0</v>
      </c>
    </row>
    <row r="6">
      <c r="A6" t="inlineStr">
        <is>
          <t>2026-07-06</t>
        </is>
      </c>
      <c r="B6" s="11" t="n">
        <v>162175.07</v>
      </c>
      <c r="C6" s="11" t="n">
        <v>160052.05</v>
      </c>
      <c r="D6" t="n">
        <v>66</v>
      </c>
      <c r="E6" s="11" t="n">
        <v>2425.031</v>
      </c>
      <c r="F6" s="11" t="n">
        <v>160356.98</v>
      </c>
      <c r="G6" s="11" t="n">
        <v>-2123.02</v>
      </c>
      <c r="H6" s="11" t="n">
        <v>0</v>
      </c>
      <c r="I6" s="11" t="n">
        <v>304.93</v>
      </c>
      <c r="J6" t="n">
        <v>3833</v>
      </c>
      <c r="K6" t="n">
        <v>219</v>
      </c>
      <c r="L6" t="n">
        <v>2</v>
      </c>
      <c r="M6" t="n">
        <v>1</v>
      </c>
      <c r="N6" s="12" t="n">
        <v>0.02608922515001304</v>
      </c>
    </row>
    <row r="7">
      <c r="A7" t="inlineStr">
        <is>
          <t>2026-07-07</t>
        </is>
      </c>
      <c r="B7" s="11" t="n">
        <v>157434</v>
      </c>
      <c r="C7" s="11" t="n">
        <v>157104.15</v>
      </c>
      <c r="D7" t="n">
        <v>65</v>
      </c>
      <c r="E7" s="11" t="n">
        <v>2416.986</v>
      </c>
      <c r="F7" s="11" t="n">
        <v>157104.15</v>
      </c>
      <c r="G7" s="11" t="n">
        <v>-329.85</v>
      </c>
      <c r="H7" s="11" t="n">
        <v>0</v>
      </c>
      <c r="I7" s="11" t="n">
        <v>0</v>
      </c>
      <c r="J7" t="n">
        <v>4127</v>
      </c>
      <c r="K7" t="n">
        <v>231</v>
      </c>
      <c r="L7" t="n">
        <v>0</v>
      </c>
      <c r="M7" t="n">
        <v>0</v>
      </c>
      <c r="N7" s="12" t="n">
        <v>0</v>
      </c>
    </row>
    <row r="8">
      <c r="A8" t="inlineStr">
        <is>
          <t>2026-07-08</t>
        </is>
      </c>
      <c r="B8" s="11" t="n">
        <v>132865.03</v>
      </c>
      <c r="C8" s="11" t="n">
        <v>127317.38</v>
      </c>
      <c r="D8" t="n">
        <v>57</v>
      </c>
      <c r="E8" s="11" t="n">
        <v>2316.936</v>
      </c>
      <c r="F8" s="11" t="n">
        <v>127744.35</v>
      </c>
      <c r="G8" s="11" t="n">
        <v>-799.65</v>
      </c>
      <c r="H8" s="11" t="n">
        <v>-4748</v>
      </c>
      <c r="I8" s="11" t="n">
        <v>426.97</v>
      </c>
      <c r="J8" t="n">
        <v>3760</v>
      </c>
      <c r="K8" t="n">
        <v>201</v>
      </c>
      <c r="L8" t="n">
        <v>2</v>
      </c>
      <c r="M8" t="n">
        <v>1</v>
      </c>
      <c r="N8" s="12" t="n">
        <v>0.02659574468085106</v>
      </c>
    </row>
    <row r="9">
      <c r="A9" t="inlineStr">
        <is>
          <t>2026-07-09</t>
        </is>
      </c>
      <c r="B9" s="11" t="n">
        <v>190834.8</v>
      </c>
      <c r="C9" s="11" t="n">
        <v>186473.48</v>
      </c>
      <c r="D9" t="n">
        <v>73</v>
      </c>
      <c r="E9" s="11" t="n">
        <v>2588.664</v>
      </c>
      <c r="F9" s="11" t="n">
        <v>186854.68</v>
      </c>
      <c r="G9" s="11" t="n">
        <v>-1862.32</v>
      </c>
      <c r="H9" s="11" t="n">
        <v>-2499</v>
      </c>
      <c r="I9" s="11" t="n">
        <v>381.2</v>
      </c>
      <c r="J9" t="n">
        <v>4005</v>
      </c>
      <c r="K9" t="n">
        <v>230</v>
      </c>
      <c r="L9" t="n">
        <v>1</v>
      </c>
      <c r="M9" t="n">
        <v>1</v>
      </c>
      <c r="N9" s="12" t="n">
        <v>0.02496878901373283</v>
      </c>
    </row>
  </sheetData>
  <autoFilter ref="A1:N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1" customWidth="1" min="9" max="9"/>
    <col width="10" customWidth="1" min="10" max="10"/>
    <col width="10" customWidth="1" min="11" max="11"/>
  </cols>
  <sheetData>
    <row r="1" ht="20" customHeight="1">
      <c r="A1" s="2" t="inlineStr">
        <is>
          <t>Date</t>
        </is>
      </c>
      <c r="B1" s="2" t="inlineStr">
        <is>
          <t>Spend</t>
        </is>
      </c>
      <c r="C1" s="2" t="inlineStr">
        <is>
          <t>Impressions</t>
        </is>
      </c>
      <c r="D1" s="2" t="inlineStr">
        <is>
          <t>Reach</t>
        </is>
      </c>
      <c r="E1" s="2" t="inlineStr">
        <is>
          <t>Clicks</t>
        </is>
      </c>
      <c r="F1" s="2" t="inlineStr">
        <is>
          <t>CTR</t>
        </is>
      </c>
      <c r="G1" s="2" t="inlineStr">
        <is>
          <t>CPC</t>
        </is>
      </c>
      <c r="H1" s="2" t="inlineStr">
        <is>
          <t>CPM</t>
        </is>
      </c>
      <c r="I1" s="2" t="inlineStr">
        <is>
          <t>Purchases</t>
        </is>
      </c>
      <c r="J1" s="2" t="inlineStr">
        <is>
          <t>CPA</t>
        </is>
      </c>
      <c r="K1" s="2" t="inlineStr">
        <is>
          <t>ROAS</t>
        </is>
      </c>
    </row>
    <row r="2">
      <c r="A2" t="inlineStr">
        <is>
          <t>2026-07-02</t>
        </is>
      </c>
      <c r="B2" s="11" t="n">
        <v>41809.32</v>
      </c>
      <c r="C2" t="n">
        <v>286238</v>
      </c>
      <c r="D2" t="n">
        <v>241167</v>
      </c>
      <c r="E2" t="n">
        <v>5335</v>
      </c>
      <c r="F2" s="12" t="n">
        <v>1.86</v>
      </c>
      <c r="G2" s="11" t="n">
        <v>7.84</v>
      </c>
      <c r="H2" s="11" t="n">
        <v>146.06</v>
      </c>
      <c r="I2" t="n">
        <v>70</v>
      </c>
      <c r="J2" s="11" t="n">
        <v>597.28</v>
      </c>
      <c r="K2" s="9" t="n">
        <v>4.15</v>
      </c>
    </row>
    <row r="3">
      <c r="A3" t="inlineStr">
        <is>
          <t>2026-07-03</t>
        </is>
      </c>
      <c r="B3" s="11" t="n">
        <v>41497.96</v>
      </c>
      <c r="C3" t="n">
        <v>286555</v>
      </c>
      <c r="D3" t="n">
        <v>234669</v>
      </c>
      <c r="E3" t="n">
        <v>5313</v>
      </c>
      <c r="F3" s="12" t="n">
        <v>1.85</v>
      </c>
      <c r="G3" s="11" t="n">
        <v>7.81</v>
      </c>
      <c r="H3" s="11" t="n">
        <v>144.82</v>
      </c>
      <c r="I3" t="n">
        <v>61</v>
      </c>
      <c r="J3" s="11" t="n">
        <v>680.29</v>
      </c>
      <c r="K3" s="9" t="n">
        <v>3.6</v>
      </c>
    </row>
    <row r="4">
      <c r="A4" t="inlineStr">
        <is>
          <t>2026-07-04</t>
        </is>
      </c>
      <c r="B4" s="11" t="n">
        <v>34869.21</v>
      </c>
      <c r="C4" t="n">
        <v>208302</v>
      </c>
      <c r="D4" t="n">
        <v>171824</v>
      </c>
      <c r="E4" t="n">
        <v>4498</v>
      </c>
      <c r="F4" s="12" t="n">
        <v>2.16</v>
      </c>
      <c r="G4" s="11" t="n">
        <v>7.75</v>
      </c>
      <c r="H4" s="11" t="n">
        <v>167.4</v>
      </c>
      <c r="I4" t="n">
        <v>48</v>
      </c>
      <c r="J4" s="11" t="n">
        <v>726.4400000000001</v>
      </c>
      <c r="K4" s="9" t="n">
        <v>3.23</v>
      </c>
    </row>
    <row r="5">
      <c r="A5" t="inlineStr">
        <is>
          <t>2026-07-05</t>
        </is>
      </c>
      <c r="B5" s="11" t="n">
        <v>43115.88</v>
      </c>
      <c r="C5" t="n">
        <v>259257</v>
      </c>
      <c r="D5" t="n">
        <v>210046</v>
      </c>
      <c r="E5" t="n">
        <v>5727</v>
      </c>
      <c r="F5" s="12" t="n">
        <v>2.21</v>
      </c>
      <c r="G5" s="11" t="n">
        <v>7.53</v>
      </c>
      <c r="H5" s="11" t="n">
        <v>166.31</v>
      </c>
      <c r="I5" t="n">
        <v>64</v>
      </c>
      <c r="J5" s="11" t="n">
        <v>673.6900000000001</v>
      </c>
      <c r="K5" s="9" t="n">
        <v>3.54</v>
      </c>
    </row>
    <row r="6">
      <c r="A6" t="inlineStr">
        <is>
          <t>2026-07-06</t>
        </is>
      </c>
      <c r="B6" s="11" t="n">
        <v>41465.01</v>
      </c>
      <c r="C6" t="n">
        <v>244063</v>
      </c>
      <c r="D6" t="n">
        <v>204927</v>
      </c>
      <c r="E6" t="n">
        <v>5323</v>
      </c>
      <c r="F6" s="12" t="n">
        <v>2.18</v>
      </c>
      <c r="G6" s="11" t="n">
        <v>7.79</v>
      </c>
      <c r="H6" s="11" t="n">
        <v>169.89</v>
      </c>
      <c r="I6" t="n">
        <v>62</v>
      </c>
      <c r="J6" s="11" t="n">
        <v>668.79</v>
      </c>
      <c r="K6" s="9" t="n">
        <v>3.63</v>
      </c>
    </row>
    <row r="7">
      <c r="A7" t="inlineStr">
        <is>
          <t>2026-07-07</t>
        </is>
      </c>
      <c r="B7" s="11" t="n">
        <v>43731.55</v>
      </c>
      <c r="C7" t="n">
        <v>289695</v>
      </c>
      <c r="D7" t="n">
        <v>229432</v>
      </c>
      <c r="E7" t="n">
        <v>6152</v>
      </c>
      <c r="F7" s="12" t="n">
        <v>2.12</v>
      </c>
      <c r="G7" s="11" t="n">
        <v>7.11</v>
      </c>
      <c r="H7" s="11" t="n">
        <v>150.96</v>
      </c>
      <c r="I7" t="n">
        <v>63</v>
      </c>
      <c r="J7" s="11" t="n">
        <v>694.15</v>
      </c>
      <c r="K7" s="9" t="n">
        <v>3.37</v>
      </c>
    </row>
    <row r="8">
      <c r="A8" t="inlineStr">
        <is>
          <t>2026-07-08</t>
        </is>
      </c>
      <c r="B8" s="11" t="n">
        <v>42618.38</v>
      </c>
      <c r="C8" t="n">
        <v>262678</v>
      </c>
      <c r="D8" t="n">
        <v>209931</v>
      </c>
      <c r="E8" t="n">
        <v>5665</v>
      </c>
      <c r="F8" s="12" t="n">
        <v>2.16</v>
      </c>
      <c r="G8" s="11" t="n">
        <v>7.52</v>
      </c>
      <c r="H8" s="11" t="n">
        <v>162.25</v>
      </c>
      <c r="I8" t="n">
        <v>56</v>
      </c>
      <c r="J8" s="11" t="n">
        <v>761.04</v>
      </c>
      <c r="K8" s="9" t="n">
        <v>3.05</v>
      </c>
    </row>
    <row r="9">
      <c r="A9" t="inlineStr">
        <is>
          <t>2026-07-09</t>
        </is>
      </c>
      <c r="B9" s="11" t="n">
        <v>43290.61</v>
      </c>
      <c r="C9" t="n">
        <v>258058</v>
      </c>
      <c r="D9" t="n">
        <v>213173</v>
      </c>
      <c r="E9" t="n">
        <v>6023</v>
      </c>
      <c r="F9" s="12" t="n">
        <v>2.33</v>
      </c>
      <c r="G9" s="11" t="n">
        <v>7.19</v>
      </c>
      <c r="H9" s="11" t="n">
        <v>167.77</v>
      </c>
      <c r="I9" t="n">
        <v>66</v>
      </c>
      <c r="J9" s="11" t="n">
        <v>655.92</v>
      </c>
      <c r="K9" s="9" t="n">
        <v>3.88</v>
      </c>
    </row>
  </sheetData>
  <autoFilter ref="A1:K9"/>
  <conditionalFormatting sqref="K2:K9">
    <cfRule type="cellIs" priority="1" operator="lessThan" dxfId="1">
      <formula>1.5</formula>
    </cfRule>
    <cfRule type="cellIs" priority="2" operator="between" dxfId="2">
      <formula>1.5</formula>
      <formula>3</formula>
    </cfRule>
    <cfRule type="cellIs" priority="3" operator="greaterThan" dxfId="0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5" customWidth="1" min="1" max="1"/>
    <col width="13" customWidth="1" min="2" max="2"/>
    <col width="11" customWidth="1" min="3" max="3"/>
    <col width="10" customWidth="1" min="4" max="4"/>
    <col width="13" customWidth="1" min="5" max="5"/>
    <col width="17" customWidth="1" min="6" max="6"/>
    <col width="11" customWidth="1" min="7" max="7"/>
    <col width="14" customWidth="1" min="8" max="8"/>
  </cols>
  <sheetData>
    <row r="1" ht="20" customHeight="1">
      <c r="A1" s="13" t="inlineStr">
        <is>
          <t>YESTERDAY (2026-07-09)</t>
        </is>
      </c>
      <c r="B1" s="13" t="n"/>
      <c r="C1" s="13" t="n"/>
      <c r="D1" s="13" t="n"/>
      <c r="E1" s="13" t="n"/>
      <c r="F1" s="13" t="inlineStr">
        <is>
          <t>PREVIOUS 7 DAYS</t>
        </is>
      </c>
      <c r="G1" s="13" t="n"/>
      <c r="H1" s="13" t="n"/>
    </row>
    <row r="2" ht="18" customHeight="1">
      <c r="A2" s="2" t="inlineStr">
        <is>
          <t>Product</t>
        </is>
      </c>
      <c r="B2" s="2" t="inlineStr">
        <is>
          <t>Gross Sales</t>
        </is>
      </c>
      <c r="C2" s="2" t="inlineStr">
        <is>
          <t>Net Sales</t>
        </is>
      </c>
      <c r="D2" s="2" t="inlineStr">
        <is>
          <t>Orders</t>
        </is>
      </c>
      <c r="E2" s="2" t="inlineStr">
        <is>
          <t>Total Sales</t>
        </is>
      </c>
      <c r="F2" s="2" t="inlineStr">
        <is>
          <t>7-Day Gross</t>
        </is>
      </c>
      <c r="G2" s="2" t="inlineStr">
        <is>
          <t>7-Day Net</t>
        </is>
      </c>
      <c r="H2" s="2" t="inlineStr">
        <is>
          <t>7-Day Orders</t>
        </is>
      </c>
    </row>
    <row r="3">
      <c r="A3" t="inlineStr">
        <is>
          <t>Ira Rayon Co-ord Set for Women | Relaxed Fit Shirt Top with Draped Pants</t>
        </is>
      </c>
      <c r="B3" s="11" t="n">
        <v>37103.8</v>
      </c>
      <c r="C3" s="11" t="n">
        <v>34604.8</v>
      </c>
      <c r="D3" t="n">
        <v>15</v>
      </c>
      <c r="E3" s="11" t="n">
        <v>34986</v>
      </c>
      <c r="F3" s="11" t="n">
        <v>324870</v>
      </c>
      <c r="G3" s="11" t="n">
        <v>322870.8</v>
      </c>
      <c r="H3" t="n">
        <v>128</v>
      </c>
    </row>
    <row r="4">
      <c r="A4" t="inlineStr">
        <is>
          <t>"The Essential" - White Cotton Shirt &amp; Pant Co-ord Set</t>
        </is>
      </c>
      <c r="B4" s="11" t="n">
        <v>32584</v>
      </c>
      <c r="C4" s="11" t="n">
        <v>32584</v>
      </c>
      <c r="D4" t="n">
        <v>15</v>
      </c>
      <c r="E4" s="11" t="n">
        <v>32584</v>
      </c>
      <c r="F4" s="11" t="n">
        <v>238177.07</v>
      </c>
      <c r="G4" s="11" t="n">
        <v>234720.8</v>
      </c>
      <c r="H4" t="n">
        <v>115</v>
      </c>
    </row>
    <row r="5">
      <c r="A5" t="inlineStr">
        <is>
          <t>The Dhurandhar Black Short Kurta Set | A Dhirai Essential</t>
        </is>
      </c>
      <c r="B5" s="11" t="n">
        <v>15743</v>
      </c>
      <c r="C5" s="11" t="n">
        <v>15743</v>
      </c>
      <c r="D5" t="n">
        <v>7</v>
      </c>
      <c r="E5" s="11" t="n">
        <v>15743</v>
      </c>
      <c r="F5" s="11" t="n">
        <v>46978</v>
      </c>
      <c r="G5" s="11" t="n">
        <v>41302.63</v>
      </c>
      <c r="H5" t="n">
        <v>21</v>
      </c>
    </row>
    <row r="6">
      <c r="A6" t="inlineStr">
        <is>
          <t>"Inayat" — Power Pastel Cotton Shirt &amp; Trouser Co-ord Set</t>
        </is>
      </c>
      <c r="B6" s="11" t="n">
        <v>10095</v>
      </c>
      <c r="C6" s="11" t="n">
        <v>10095</v>
      </c>
      <c r="D6" t="n">
        <v>5</v>
      </c>
      <c r="E6" s="11" t="n">
        <v>10095</v>
      </c>
      <c r="F6" s="11" t="n">
        <v>35982</v>
      </c>
      <c r="G6" s="11" t="n">
        <v>35982</v>
      </c>
      <c r="H6" t="n">
        <v>17</v>
      </c>
    </row>
    <row r="7">
      <c r="A7" t="inlineStr">
        <is>
          <t>Zehra Co-ord set| DHIRAI</t>
        </is>
      </c>
      <c r="B7" s="11" t="n">
        <v>9996</v>
      </c>
      <c r="C7" s="11" t="n">
        <v>9996</v>
      </c>
      <c r="D7" t="n">
        <v>2</v>
      </c>
      <c r="E7" s="11" t="n">
        <v>9996</v>
      </c>
      <c r="F7" s="11" t="inlineStr"/>
      <c r="G7" s="11" t="inlineStr"/>
      <c r="H7" t="inlineStr"/>
    </row>
    <row r="8">
      <c r="A8" t="inlineStr">
        <is>
          <t>Elegant Pakistani-Style Mauve Kurta Set</t>
        </is>
      </c>
      <c r="B8" s="11" t="n">
        <v>9995</v>
      </c>
      <c r="C8" s="11" t="n">
        <v>9995</v>
      </c>
      <c r="D8" t="n">
        <v>3</v>
      </c>
      <c r="E8" s="11" t="n">
        <v>9995</v>
      </c>
      <c r="F8" s="11" t="n">
        <v>19990</v>
      </c>
      <c r="G8" s="11" t="n">
        <v>19890.05</v>
      </c>
      <c r="H8" t="n">
        <v>9</v>
      </c>
    </row>
    <row r="9">
      <c r="A9" t="inlineStr">
        <is>
          <t>Eclipse Grace Premium Crepe Salwar Suit set | DHIRAI</t>
        </is>
      </c>
      <c r="B9" s="11" t="n">
        <v>8997</v>
      </c>
      <c r="C9" s="11" t="n">
        <v>8997</v>
      </c>
      <c r="D9" t="n">
        <v>3</v>
      </c>
      <c r="E9" s="11" t="n">
        <v>8997</v>
      </c>
      <c r="F9" s="11" t="n">
        <v>32989</v>
      </c>
      <c r="G9" s="11" t="n">
        <v>32839.05</v>
      </c>
      <c r="H9" t="n">
        <v>11</v>
      </c>
    </row>
    <row r="10">
      <c r="A10" t="inlineStr">
        <is>
          <t>Embroidered Rayon Kurti with Farshi Salwar Set — Elegant Co-Ord for Women</t>
        </is>
      </c>
      <c r="B10" s="11" t="n">
        <v>8397</v>
      </c>
      <c r="C10" s="11" t="n">
        <v>8397</v>
      </c>
      <c r="D10" t="n">
        <v>3</v>
      </c>
      <c r="E10" s="11" t="n">
        <v>8397</v>
      </c>
      <c r="F10" s="11" t="inlineStr"/>
      <c r="G10" s="11" t="inlineStr"/>
      <c r="H10" t="inlineStr"/>
    </row>
    <row r="11">
      <c r="A11" t="inlineStr">
        <is>
          <t>Embroidered Rayon Kurti with Farshi Salwar Set — Elegant Ethnic Co-Ord for Women</t>
        </is>
      </c>
      <c r="B11" s="11" t="n">
        <v>8397</v>
      </c>
      <c r="C11" s="11" t="n">
        <v>8397</v>
      </c>
      <c r="D11" t="n">
        <v>3</v>
      </c>
      <c r="E11" s="11" t="n">
        <v>8397</v>
      </c>
      <c r="F11" s="11" t="n">
        <v>61751.03</v>
      </c>
      <c r="G11" s="11" t="n">
        <v>61751.03</v>
      </c>
      <c r="H11" t="n">
        <v>21</v>
      </c>
    </row>
    <row r="12">
      <c r="A12" t="inlineStr">
        <is>
          <t>Kaali Noor Black Cotton Farshi Salwar Set for Women | Elegant Kurta Set | Dhirai</t>
        </is>
      </c>
      <c r="B12" s="11" t="n">
        <v>4398</v>
      </c>
      <c r="C12" s="11" t="n">
        <v>4398</v>
      </c>
      <c r="D12" t="n">
        <v>2</v>
      </c>
      <c r="E12" s="11" t="n">
        <v>4398</v>
      </c>
      <c r="F12" s="11" t="inlineStr"/>
      <c r="G12" s="11" t="inlineStr"/>
      <c r="H12" t="inlineStr"/>
    </row>
  </sheetData>
  <autoFilter ref="A2:H12"/>
  <mergeCells count="2">
    <mergeCell ref="A1:E1"/>
    <mergeCell ref="F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0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0" customWidth="1" min="12" max="12"/>
  </cols>
  <sheetData>
    <row r="1" ht="20" customHeight="1">
      <c r="A1" s="13" t="inlineStr">
        <is>
          <t>CAMPAIGN LEVEL — 2026-07-09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 ht="18" customHeight="1">
      <c r="A2" s="2" t="inlineStr">
        <is>
          <t>Campaign</t>
        </is>
      </c>
      <c r="B2" s="2" t="inlineStr">
        <is>
          <t>Status</t>
        </is>
      </c>
      <c r="C2" s="2" t="inlineStr">
        <is>
          <t>Spend</t>
        </is>
      </c>
      <c r="D2" s="2" t="inlineStr">
        <is>
          <t>Impressions</t>
        </is>
      </c>
      <c r="E2" s="2" t="inlineStr">
        <is>
          <t>Reach</t>
        </is>
      </c>
      <c r="F2" s="2" t="inlineStr">
        <is>
          <t>Clicks</t>
        </is>
      </c>
      <c r="G2" s="2" t="inlineStr">
        <is>
          <t>CTR</t>
        </is>
      </c>
      <c r="H2" s="2" t="inlineStr">
        <is>
          <t>CPC</t>
        </is>
      </c>
      <c r="I2" s="2" t="inlineStr">
        <is>
          <t>CPM</t>
        </is>
      </c>
      <c r="J2" s="2" t="inlineStr">
        <is>
          <t>Purchases</t>
        </is>
      </c>
      <c r="K2" s="2" t="inlineStr">
        <is>
          <t>CPA</t>
        </is>
      </c>
      <c r="L2" s="2" t="inlineStr">
        <is>
          <t>ROAS</t>
        </is>
      </c>
    </row>
    <row r="3">
      <c r="A3" t="inlineStr">
        <is>
          <t>New Campaign- for recovery</t>
        </is>
      </c>
      <c r="B3" t="inlineStr">
        <is>
          <t>ACTIVE</t>
        </is>
      </c>
      <c r="C3" s="11" t="n">
        <v>14225.72</v>
      </c>
      <c r="D3" t="n">
        <v>112491</v>
      </c>
      <c r="E3" t="n">
        <v>94384</v>
      </c>
      <c r="F3" t="n">
        <v>1541</v>
      </c>
      <c r="G3" s="12" t="n">
        <v>1.37</v>
      </c>
      <c r="H3" s="11" t="n">
        <v>9.23</v>
      </c>
      <c r="I3" s="11" t="n">
        <v>126.46</v>
      </c>
      <c r="J3" t="n">
        <v>13</v>
      </c>
      <c r="K3" s="11" t="n">
        <v>1094.29</v>
      </c>
      <c r="L3" s="9" t="n">
        <v>2.21</v>
      </c>
    </row>
    <row r="4">
      <c r="A4" t="inlineStr">
        <is>
          <t>Dhirai Scale -ASC</t>
        </is>
      </c>
      <c r="B4" t="inlineStr">
        <is>
          <t>ACTIVE</t>
        </is>
      </c>
      <c r="C4" s="11" t="n">
        <v>12365.31</v>
      </c>
      <c r="D4" t="n">
        <v>67342</v>
      </c>
      <c r="E4" t="n">
        <v>59638</v>
      </c>
      <c r="F4" t="n">
        <v>1606</v>
      </c>
      <c r="G4" s="12" t="n">
        <v>2.38</v>
      </c>
      <c r="H4" s="11" t="n">
        <v>7.7</v>
      </c>
      <c r="I4" s="11" t="n">
        <v>183.62</v>
      </c>
      <c r="J4" t="n">
        <v>14</v>
      </c>
      <c r="K4" s="11" t="n">
        <v>883.24</v>
      </c>
      <c r="L4" s="9" t="n">
        <v>2.58</v>
      </c>
    </row>
    <row r="5">
      <c r="A5" t="inlineStr">
        <is>
          <t>Retargeting- new</t>
        </is>
      </c>
      <c r="B5" t="inlineStr">
        <is>
          <t>ACTIVE</t>
        </is>
      </c>
      <c r="C5" s="11" t="n">
        <v>8801.01</v>
      </c>
      <c r="D5" t="n">
        <v>25282</v>
      </c>
      <c r="E5" t="n">
        <v>16540</v>
      </c>
      <c r="F5" t="n">
        <v>1008</v>
      </c>
      <c r="G5" s="12" t="n">
        <v>3.99</v>
      </c>
      <c r="H5" s="11" t="n">
        <v>8.73</v>
      </c>
      <c r="I5" s="11" t="n">
        <v>348.11</v>
      </c>
      <c r="J5" t="n">
        <v>23</v>
      </c>
      <c r="K5" s="11" t="n">
        <v>382.65</v>
      </c>
      <c r="L5" s="9" t="n">
        <v>6.76</v>
      </c>
    </row>
    <row r="6">
      <c r="A6" t="inlineStr">
        <is>
          <t>Black DHURANDHAR</t>
        </is>
      </c>
      <c r="B6" t="inlineStr">
        <is>
          <t>ACTIVE</t>
        </is>
      </c>
      <c r="C6" s="11" t="n">
        <v>7898.57</v>
      </c>
      <c r="D6" t="n">
        <v>52943</v>
      </c>
      <c r="E6" t="n">
        <v>42611</v>
      </c>
      <c r="F6" t="n">
        <v>1868</v>
      </c>
      <c r="G6" s="12" t="n">
        <v>3.53</v>
      </c>
      <c r="H6" s="11" t="n">
        <v>4.23</v>
      </c>
      <c r="I6" s="11" t="n">
        <v>149.19</v>
      </c>
      <c r="J6" t="n">
        <v>16</v>
      </c>
      <c r="K6" s="11" t="n">
        <v>493.66</v>
      </c>
      <c r="L6" s="9" t="n">
        <v>5.69</v>
      </c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</row>
    <row r="8" ht="20" customHeight="1">
      <c r="A8" s="13" t="inlineStr">
        <is>
          <t>AD SET LEVEL — 2026-07-09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 ht="18" customHeight="1">
      <c r="A9" s="2" t="inlineStr">
        <is>
          <t>Ad Set</t>
        </is>
      </c>
      <c r="B9" s="2" t="inlineStr">
        <is>
          <t>Campaign</t>
        </is>
      </c>
      <c r="C9" s="2" t="inlineStr">
        <is>
          <t>Spend</t>
        </is>
      </c>
      <c r="D9" s="2" t="inlineStr">
        <is>
          <t>Impressions</t>
        </is>
      </c>
      <c r="E9" s="2" t="inlineStr">
        <is>
          <t>Reach</t>
        </is>
      </c>
      <c r="F9" s="2" t="inlineStr">
        <is>
          <t>Clicks</t>
        </is>
      </c>
      <c r="G9" s="2" t="inlineStr">
        <is>
          <t>CTR</t>
        </is>
      </c>
      <c r="H9" s="2" t="inlineStr">
        <is>
          <t>CPC</t>
        </is>
      </c>
      <c r="I9" s="2" t="inlineStr">
        <is>
          <t>CPM</t>
        </is>
      </c>
      <c r="J9" s="2" t="inlineStr">
        <is>
          <t>Purchases</t>
        </is>
      </c>
      <c r="K9" s="2" t="inlineStr">
        <is>
          <t>CPA</t>
        </is>
      </c>
      <c r="L9" s="2" t="inlineStr">
        <is>
          <t>ROAS</t>
        </is>
      </c>
    </row>
    <row r="10">
      <c r="A10" t="inlineStr">
        <is>
          <t>Rayon</t>
        </is>
      </c>
      <c r="B10" t="inlineStr">
        <is>
          <t>New Campaign- for recovery</t>
        </is>
      </c>
      <c r="C10" s="11" t="n">
        <v>13125.39</v>
      </c>
      <c r="D10" t="n">
        <v>110266</v>
      </c>
      <c r="E10" t="n">
        <v>93118</v>
      </c>
      <c r="F10" t="n">
        <v>1480</v>
      </c>
      <c r="G10" s="12" t="n">
        <v>1.34</v>
      </c>
      <c r="H10" s="11" t="n">
        <v>8.869999999999999</v>
      </c>
      <c r="I10" s="11" t="n">
        <v>119.03</v>
      </c>
      <c r="J10" t="n">
        <v>10</v>
      </c>
      <c r="K10" s="11" t="n">
        <v>1312.54</v>
      </c>
      <c r="L10" s="9" t="n">
        <v>1.9</v>
      </c>
    </row>
    <row r="11">
      <c r="A11" t="inlineStr">
        <is>
          <t>New Sales Ad Set</t>
        </is>
      </c>
      <c r="B11" t="inlineStr">
        <is>
          <t>Dhirai Scale -ASC</t>
        </is>
      </c>
      <c r="C11" s="11" t="n">
        <v>11224.38</v>
      </c>
      <c r="D11" t="n">
        <v>63343</v>
      </c>
      <c r="E11" t="n">
        <v>56418</v>
      </c>
      <c r="F11" t="n">
        <v>1457</v>
      </c>
      <c r="G11" s="12" t="n">
        <v>2.3</v>
      </c>
      <c r="H11" s="11" t="n">
        <v>7.7</v>
      </c>
      <c r="I11" s="11" t="n">
        <v>177.2</v>
      </c>
      <c r="J11" t="n">
        <v>11</v>
      </c>
      <c r="K11" s="11" t="n">
        <v>1020.4</v>
      </c>
      <c r="L11" s="9" t="n">
        <v>2.14</v>
      </c>
    </row>
    <row r="12">
      <c r="A12" t="inlineStr">
        <is>
          <t>Broad</t>
        </is>
      </c>
      <c r="B12" t="inlineStr">
        <is>
          <t>Black DHURANDHAR</t>
        </is>
      </c>
      <c r="C12" s="11" t="n">
        <v>7898.57</v>
      </c>
      <c r="D12" t="n">
        <v>52943</v>
      </c>
      <c r="E12" t="n">
        <v>42611</v>
      </c>
      <c r="F12" t="n">
        <v>1868</v>
      </c>
      <c r="G12" s="12" t="n">
        <v>3.53</v>
      </c>
      <c r="H12" s="11" t="n">
        <v>4.23</v>
      </c>
      <c r="I12" s="11" t="n">
        <v>149.19</v>
      </c>
      <c r="J12" t="n">
        <v>16</v>
      </c>
      <c r="K12" s="11" t="n">
        <v>493.66</v>
      </c>
      <c r="L12" s="9" t="n">
        <v>5.69</v>
      </c>
    </row>
    <row r="13">
      <c r="A13" t="inlineStr">
        <is>
          <t>Best performing ads</t>
        </is>
      </c>
      <c r="B13" t="inlineStr">
        <is>
          <t>Retargeting- new</t>
        </is>
      </c>
      <c r="C13" s="11" t="n">
        <v>6580.66</v>
      </c>
      <c r="D13" t="n">
        <v>18841</v>
      </c>
      <c r="E13" t="n">
        <v>12715</v>
      </c>
      <c r="F13" t="n">
        <v>704</v>
      </c>
      <c r="G13" s="12" t="n">
        <v>3.74</v>
      </c>
      <c r="H13" s="11" t="n">
        <v>9.35</v>
      </c>
      <c r="I13" s="11" t="n">
        <v>349.27</v>
      </c>
      <c r="J13" t="n">
        <v>19</v>
      </c>
      <c r="K13" s="11" t="n">
        <v>346.35</v>
      </c>
      <c r="L13" s="9" t="n">
        <v>7.55</v>
      </c>
    </row>
    <row r="14">
      <c r="A14" t="inlineStr">
        <is>
          <t>Black and multiple</t>
        </is>
      </c>
      <c r="B14" t="inlineStr">
        <is>
          <t>Retargeting- new</t>
        </is>
      </c>
      <c r="C14" s="11" t="n">
        <v>2220.35</v>
      </c>
      <c r="D14" t="n">
        <v>6441</v>
      </c>
      <c r="E14" t="n">
        <v>4238</v>
      </c>
      <c r="F14" t="n">
        <v>304</v>
      </c>
      <c r="G14" s="12" t="n">
        <v>4.72</v>
      </c>
      <c r="H14" s="11" t="n">
        <v>7.3</v>
      </c>
      <c r="I14" s="11" t="n">
        <v>344.72</v>
      </c>
      <c r="J14" t="n">
        <v>4</v>
      </c>
      <c r="K14" s="11" t="n">
        <v>555.09</v>
      </c>
      <c r="L14" s="9" t="n">
        <v>4.43</v>
      </c>
    </row>
    <row r="15">
      <c r="A15" t="inlineStr">
        <is>
          <t>Karigari</t>
        </is>
      </c>
      <c r="B15" t="inlineStr">
        <is>
          <t>Dhirai Scale -ASC</t>
        </is>
      </c>
      <c r="C15" s="11" t="n">
        <v>1140.93</v>
      </c>
      <c r="D15" t="n">
        <v>3999</v>
      </c>
      <c r="E15" t="n">
        <v>3152</v>
      </c>
      <c r="F15" t="n">
        <v>149</v>
      </c>
      <c r="G15" s="12" t="n">
        <v>3.73</v>
      </c>
      <c r="H15" s="11" t="n">
        <v>7.66</v>
      </c>
      <c r="I15" s="11" t="n">
        <v>285.3</v>
      </c>
      <c r="J15" t="n">
        <v>3</v>
      </c>
      <c r="K15" s="11" t="n">
        <v>380.31</v>
      </c>
      <c r="L15" s="9" t="n">
        <v>6.99</v>
      </c>
    </row>
    <row r="16">
      <c r="A16" t="inlineStr">
        <is>
          <t>Black Dhurandhar</t>
        </is>
      </c>
      <c r="B16" t="inlineStr">
        <is>
          <t>New Campaign- for recovery</t>
        </is>
      </c>
      <c r="C16" s="11" t="n">
        <v>463.52</v>
      </c>
      <c r="D16" t="n">
        <v>659</v>
      </c>
      <c r="E16" t="n">
        <v>571</v>
      </c>
      <c r="F16" t="n">
        <v>12</v>
      </c>
      <c r="G16" s="12" t="n">
        <v>1.82</v>
      </c>
      <c r="H16" s="11" t="n">
        <v>38.63</v>
      </c>
      <c r="I16" s="11" t="n">
        <v>703.37</v>
      </c>
      <c r="J16" t="n">
        <v>0</v>
      </c>
      <c r="K16" s="11" t="inlineStr"/>
      <c r="L16" s="9" t="inlineStr"/>
    </row>
    <row r="17">
      <c r="A17" t="inlineStr">
        <is>
          <t>White Dhurandhar</t>
        </is>
      </c>
      <c r="B17" t="inlineStr">
        <is>
          <t>New Campaign- for recovery</t>
        </is>
      </c>
      <c r="C17" s="11" t="n">
        <v>349.53</v>
      </c>
      <c r="D17" t="n">
        <v>974</v>
      </c>
      <c r="E17" t="n">
        <v>841</v>
      </c>
      <c r="F17" t="n">
        <v>30</v>
      </c>
      <c r="G17" s="12" t="n">
        <v>3.08</v>
      </c>
      <c r="H17" s="11" t="n">
        <v>11.65</v>
      </c>
      <c r="I17" s="11" t="n">
        <v>358.86</v>
      </c>
      <c r="J17" t="n">
        <v>2</v>
      </c>
      <c r="K17" s="11" t="n">
        <v>174.77</v>
      </c>
      <c r="L17" s="9" t="n">
        <v>12.87</v>
      </c>
    </row>
    <row r="18">
      <c r="A18" t="inlineStr">
        <is>
          <t>Karigar</t>
        </is>
      </c>
      <c r="B18" t="inlineStr">
        <is>
          <t>New Campaign- for recovery</t>
        </is>
      </c>
      <c r="C18" s="11" t="n">
        <v>287.28</v>
      </c>
      <c r="D18" t="n">
        <v>592</v>
      </c>
      <c r="E18" t="n">
        <v>535</v>
      </c>
      <c r="F18" t="n">
        <v>19</v>
      </c>
      <c r="G18" s="12" t="n">
        <v>3.21</v>
      </c>
      <c r="H18" s="11" t="n">
        <v>15.12</v>
      </c>
      <c r="I18" s="11" t="n">
        <v>485.27</v>
      </c>
      <c r="J18" t="n">
        <v>1</v>
      </c>
      <c r="K18" s="11" t="n">
        <v>287.28</v>
      </c>
      <c r="L18" s="9" t="n">
        <v>6.96</v>
      </c>
    </row>
  </sheetData>
  <autoFilter ref="A2:L6"/>
  <mergeCells count="2">
    <mergeCell ref="A8:L8"/>
    <mergeCell ref="A1:L1"/>
  </mergeCells>
  <conditionalFormatting sqref="L3:L6">
    <cfRule type="cellIs" priority="1" operator="lessThan" dxfId="1">
      <formula>1.5</formula>
    </cfRule>
    <cfRule type="cellIs" priority="2" operator="between" dxfId="2">
      <formula>1.5</formula>
      <formula>3</formula>
    </cfRule>
    <cfRule type="cellIs" priority="3" operator="greaterThan" dxfId="0">
      <formula>3</formula>
    </cfRule>
  </conditionalFormatting>
  <conditionalFormatting sqref="L10:L18">
    <cfRule type="cellIs" priority="4" operator="lessThan" dxfId="1">
      <formula>1.5</formula>
    </cfRule>
    <cfRule type="cellIs" priority="5" operator="between" dxfId="2">
      <formula>1.5</formula>
      <formula>3</formula>
    </cfRule>
    <cfRule type="cellIs" priority="6" operator="greaterThan" dxfId="0">
      <formula>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2" customHeight="1">
      <c r="A1" s="14" t="inlineStr">
        <is>
          <t>RECOMMENDATIONS &amp; NOTES — 2026-07-09</t>
        </is>
      </c>
      <c r="B1" s="14" t="n"/>
    </row>
    <row r="2">
      <c r="A2" s="15" t="inlineStr"/>
      <c r="B2" s="15" t="inlineStr"/>
    </row>
    <row r="3" ht="18" customHeight="1">
      <c r="A3" s="16" t="inlineStr">
        <is>
          <t>TYPE</t>
        </is>
      </c>
      <c r="B3" s="16" t="inlineStr">
        <is>
          <t>RECOMMENDATION / NOTE</t>
        </is>
      </c>
    </row>
    <row r="4">
      <c r="A4" s="15" t="inlineStr"/>
      <c r="B4" s="15" t="inlineStr"/>
    </row>
    <row r="5" ht="18" customHeight="1">
      <c r="A5" s="17" t="inlineStr">
        <is>
          <t>KEY WINS</t>
        </is>
      </c>
      <c r="B5" s="17" t="n"/>
    </row>
    <row r="6">
      <c r="A6" s="15" t="inlineStr">
        <is>
          <t>✅</t>
        </is>
      </c>
      <c r="B6" s="15" t="inlineStr">
        <is>
          <t>Gross sales up 23.6% vs 7-day avg (₹190,835 vs ₹154,457) — best day of the week.</t>
        </is>
      </c>
    </row>
    <row r="7">
      <c r="A7" s="15" t="inlineStr">
        <is>
          <t>✅</t>
        </is>
      </c>
      <c r="B7" s="15" t="inlineStr">
        <is>
          <t>Orders up 16.1% vs 7-day avg (73 vs 62.9).</t>
        </is>
      </c>
    </row>
    <row r="8">
      <c r="A8" s="15" t="inlineStr">
        <is>
          <t>✅</t>
        </is>
      </c>
      <c r="B8" s="15" t="inlineStr">
        <is>
          <t>Blended Meta ROAS 3.88x, up 10.4% vs 7-day avg (3.51x).</t>
        </is>
      </c>
    </row>
    <row r="9">
      <c r="A9" s="15" t="inlineStr">
        <is>
          <t>✅</t>
        </is>
      </c>
      <c r="B9" s="15" t="inlineStr">
        <is>
          <t>'Retargeting- new' campaign led with 6.76x ROAS at ₹383 CPA — strong candidate to scale.</t>
        </is>
      </c>
    </row>
    <row r="10">
      <c r="A10" s="15" t="inlineStr">
        <is>
          <t>✅</t>
        </is>
      </c>
      <c r="B10" s="15" t="inlineStr">
        <is>
          <t>'White Dhurandhar' ad set hit 12.87x ROAS, 2 purchases at ₹175 CPA.</t>
        </is>
      </c>
    </row>
    <row r="11">
      <c r="A11" s="15" t="inlineStr"/>
      <c r="B11" s="15" t="inlineStr"/>
    </row>
    <row r="12" ht="18" customHeight="1">
      <c r="A12" s="17" t="inlineStr">
        <is>
          <t>KEY ISSUES</t>
        </is>
      </c>
      <c r="B12" s="17" t="n"/>
    </row>
    <row r="13">
      <c r="A13" s="15" t="inlineStr">
        <is>
          <t>⚠️</t>
        </is>
      </c>
      <c r="B13" s="15" t="inlineStr">
        <is>
          <t>'"Utsav" - Mal Cotton Full Flare Anarkali Suit Set with Silver Gota' is OUT OF STOCK (0 units) but still ACTIVE — All 3 variants (S/Yellow, S/Lavender, S/Pink) at 0 units - live on site with no stock</t>
        </is>
      </c>
    </row>
    <row r="14">
      <c r="A14" s="15" t="inlineStr">
        <is>
          <t>⚠️</t>
        </is>
      </c>
      <c r="B14" s="15" t="inlineStr">
        <is>
          <t>'Rayon' ad set spent ₹13,125 at only 1.90x ROAS — review creative/targeting or reallocate budget.</t>
        </is>
      </c>
    </row>
    <row r="15">
      <c r="A15" s="15" t="inlineStr">
        <is>
          <t>⚠️</t>
        </is>
      </c>
      <c r="B15" s="15" t="inlineStr">
        <is>
          <t>'New Sales Ad Set' ad set spent ₹11,224 at only 2.14x ROAS — review creative/targeting or reallocate budget.</t>
        </is>
      </c>
    </row>
    <row r="16">
      <c r="A16" s="15" t="inlineStr">
        <is>
          <t>⚠️</t>
        </is>
      </c>
      <c r="B16" s="15" t="inlineStr">
        <is>
          <t>'Black Dhurandhar' ad set spent ₹464 with zero tracked purchases.</t>
        </is>
      </c>
    </row>
    <row r="17">
      <c r="A17" s="15" t="inlineStr">
        <is>
          <t>⚠️</t>
        </is>
      </c>
      <c r="B17" s="15" t="inlineStr">
        <is>
          <t>On-site 'completed checkout' sessions (1) are near zero versus 73 actual orders — likely a checkout/thank-you pixel tracking gap, not real abandonment. Worth auditing.</t>
        </is>
      </c>
    </row>
    <row r="18">
      <c r="A18" s="15" t="inlineStr"/>
      <c r="B18" s="15" t="inlineStr"/>
    </row>
    <row r="19" ht="18" customHeight="1">
      <c r="A19" s="17" t="inlineStr">
        <is>
          <t>RECOMMENDED ACTIONS TODAY</t>
        </is>
      </c>
      <c r="B19" s="17" t="n"/>
    </row>
    <row r="20">
      <c r="A20" s="15" t="inlineStr">
        <is>
          <t>➡️</t>
        </is>
      </c>
      <c r="B20" s="15" t="inlineStr">
        <is>
          <t>Consolidate the 4 similar ad sets in 'New Campaign- for recovery' (Rayon, Karigar, White Dhurandhar, Black Dhurandhar) - Meta flags audience/creative fragmentation slowing the learning phase (+7 pt lift).</t>
        </is>
      </c>
    </row>
    <row r="21">
      <c r="A21" s="15" t="inlineStr">
        <is>
          <t>➡️</t>
        </is>
      </c>
      <c r="B21" s="15" t="inlineStr">
        <is>
          <t>'Black and multiple' ad set has a narrow audience (20.1K-23.6K reach) - consider expanding or testing Advantage+ audience.</t>
        </is>
      </c>
    </row>
    <row r="22">
      <c r="A22" s="15" t="inlineStr">
        <is>
          <t>➡️</t>
        </is>
      </c>
      <c r="B22" s="15" t="inlineStr">
        <is>
          <t>Try Maximise-Conversions goal at account level for an estimated 17% lower cost per result.</t>
        </is>
      </c>
    </row>
    <row r="23">
      <c r="A23" s="15" t="inlineStr">
        <is>
          <t>➡️</t>
        </is>
      </c>
      <c r="B23" s="15" t="inlineStr">
        <is>
          <t>Pause or rework 'Rayon' (largest spend at low ROAS) and shift budget toward 'Retargeting- new' and 'White Dhurandhar'.</t>
        </is>
      </c>
    </row>
    <row r="24">
      <c r="A24" s="15" t="inlineStr">
        <is>
          <t>➡️</t>
        </is>
      </c>
      <c r="B24" s="15" t="inlineStr">
        <is>
          <t>Restock or unpublish '"Utsav" - Mal Cotton Full Flare Anarkali Suit Set with Silver Gota' to stop wasting ad traffic on an out-of-stock listing.</t>
        </is>
      </c>
    </row>
    <row r="25">
      <c r="A25" s="15" t="inlineStr">
        <is>
          <t>➡️</t>
        </is>
      </c>
      <c r="B25" s="15" t="inlineStr">
        <is>
          <t>Audit Shopify checkout/thank-you page pixel firing to close the session-tracking gap noted above.</t>
        </is>
      </c>
    </row>
    <row r="26">
      <c r="A26" s="15" t="inlineStr"/>
      <c r="B26" s="15" t="inlineStr"/>
    </row>
    <row r="27" ht="18" customHeight="1">
      <c r="A27" s="17" t="inlineStr">
        <is>
          <t>UNAVAILABLE METRICS / NOTES</t>
        </is>
      </c>
      <c r="B27" s="17" t="n"/>
    </row>
    <row r="28">
      <c r="A28" s="15" t="inlineStr">
        <is>
          <t>ℹ️</t>
        </is>
      </c>
      <c r="B28" s="15" t="inlineStr">
        <is>
          <t>Cancellations and failed-payment counts are not exposed by the connected Shopify tools - not included in this report.</t>
        </is>
      </c>
    </row>
    <row r="29">
      <c r="A29" s="15" t="inlineStr">
        <is>
          <t>ℹ️</t>
        </is>
      </c>
      <c r="B29" s="15" t="inlineStr">
        <is>
          <t>True 'abandoned checkout' counts are not directly available; sessions_that_reached_checkout minus sessions_that_completed_checkout is used as a rough proxy and looks affected by a tracking gap (see Recommendations).</t>
        </is>
      </c>
    </row>
    <row r="30">
      <c r="A30" s="15" t="inlineStr">
        <is>
          <t>ℹ️</t>
        </is>
      </c>
      <c r="B30" s="15" t="inlineStr">
        <is>
          <t>Google Sheets access was not available in this environment, so this report was generated as an Excel workbook instead and emailed as a draft with the file attached where possible.</t>
        </is>
      </c>
    </row>
  </sheetData>
  <mergeCells count="5">
    <mergeCell ref="A19:B19"/>
    <mergeCell ref="A5:B5"/>
    <mergeCell ref="A1:B1"/>
    <mergeCell ref="A27:B27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2026-07-10T17:50:36Z</dcterms:created>
  <dcterms:modified xsi:type="dcterms:W3CDTF">2026-07-10T17:50:36Z</dcterms:modified>
</cp:coreProperties>
</file>