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hopify Daily Data" sheetId="2" state="visible" r:id="rId2"/>
    <sheet name="Meta Ads Daily Data" sheetId="3" state="visible" r:id="rId3"/>
    <sheet name="Product Performance" sheetId="4" state="visible" r:id="rId4"/>
    <sheet name="Campaign Performance" sheetId="5" state="visible" r:id="rId5"/>
    <sheet name="Recommendations &amp; Not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&quot;₹&quot;#,##0.00"/>
    <numFmt numFmtId="166" formatCode="0.00&quot;x&quot;"/>
    <numFmt numFmtId="167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i val="1"/>
      <color rgb="009C6500"/>
    </font>
    <font>
      <name val="Arial"/>
      <sz val="11"/>
    </font>
    <font>
      <name val="Arial"/>
      <b val="1"/>
      <color rgb="00FFFFFF"/>
      <sz val="10.5"/>
    </font>
  </fonts>
  <fills count="5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111827"/>
      </patternFill>
    </fill>
    <fill>
      <patternFill patternType="solid">
        <fgColor rgb="002563EB"/>
      </patternFill>
    </fill>
  </fills>
  <borders count="2">
    <border>
      <left/>
      <right/>
      <top/>
      <bottom/>
      <diagonal/>
    </border>
    <border>
      <bottom style="thin">
        <color rgb="009CA3A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10" fontId="0" fillId="0" borderId="0" pivotButton="0" quotePrefix="0" xfId="0"/>
    <xf numFmtId="166" fontId="0" fillId="0" borderId="0" pivotButton="0" quotePrefix="0" xfId="0"/>
    <xf numFmtId="0" fontId="2" fillId="3" borderId="0" applyAlignment="1" pivotButton="0" quotePrefix="0" xfId="0">
      <alignment horizontal="left" vertical="center" indent="1"/>
    </xf>
    <xf numFmtId="167" fontId="0" fillId="0" borderId="0" pivotButton="0" quotePrefix="0" xfId="0"/>
    <xf numFmtId="0" fontId="3" fillId="4" borderId="0" applyAlignment="1" pivotButton="0" quotePrefix="0" xfId="0">
      <alignment horizontal="left" vertical="center" indent="1"/>
    </xf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wrapText="1"/>
    </xf>
    <xf numFmtId="0" fontId="5" fillId="0" borderId="0" applyAlignment="1" pivotButton="0" quotePrefix="0" xfId="0">
      <alignment vertical="top" wrapText="1"/>
    </xf>
    <xf numFmtId="0" fontId="6" fillId="2" borderId="1" applyAlignment="1" pivotButton="0" quotePrefix="0" xfId="0">
      <alignment horizontal="center" vertical="center" wrapText="1"/>
    </xf>
    <xf numFmtId="165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Sales Trend (Gross vs Net)</a:t>
            </a:r>
          </a:p>
        </rich>
      </tx>
    </title>
    <plotArea>
      <lineChart>
        <grouping val="standard"/>
        <ser>
          <idx val="0"/>
          <order val="0"/>
          <tx>
            <strRef>
              <f>'Shopify Daily Data'!C1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'Shopify Daily Data'!$A$2:$A$9</f>
            </numRef>
          </cat>
          <val>
            <numRef>
              <f>'Shopify Daily Data'!$C$2:$C$9</f>
            </numRef>
          </val>
        </ser>
        <ser>
          <idx val="1"/>
          <order val="1"/>
          <tx>
            <strRef>
              <f>'Shopify Daily Data'!F1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'Shopify Daily Data'!$A$2:$A$9</f>
            </numRef>
          </cat>
          <val>
            <numRef>
              <f>'Shopify Daily Data'!$F$2:$F$9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₹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Orders Trend</a:t>
            </a:r>
          </a:p>
        </rich>
      </tx>
    </title>
    <plotArea>
      <lineChart>
        <grouping val="standard"/>
        <ser>
          <idx val="0"/>
          <order val="0"/>
          <tx>
            <strRef>
              <f>'Shopify Daily Data'!B1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'Shopify Daily Data'!$A$2:$A$9</f>
            </numRef>
          </cat>
          <val>
            <numRef>
              <f>'Shopify Daily Data'!$B$2:$B$9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Orders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Ad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'Meta Ads Daily Data'!B1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'Meta Ads Daily Data'!$A$2:$A$9</f>
            </numRef>
          </cat>
          <val>
            <numRef>
              <f>'Meta Ads Daily Data'!$B$2:$B$9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₹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ROAS Trend</a:t>
            </a:r>
          </a:p>
        </rich>
      </tx>
    </title>
    <plotArea>
      <lineChart>
        <grouping val="standard"/>
        <ser>
          <idx val="0"/>
          <order val="0"/>
          <tx>
            <strRef>
              <f>'Meta Ads Daily Data'!K1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'Meta Ads Daily Data'!$A$2:$A$9</f>
            </numRef>
          </cat>
          <val>
            <numRef>
              <f>'Meta Ads Daily Data'!$K$2:$K$9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ROAS (x)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Products by Gross Sales (Yesterday)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'Product Performance'!B3</f>
            </strRef>
          </tx>
          <spPr>
            <a:ln>
              <a:prstDash val="solid"/>
            </a:ln>
          </spPr>
          <cat>
            <numRef>
              <f>'Product Performance'!$A$4:$A$13</f>
            </numRef>
          </cat>
          <val>
            <numRef>
              <f>'Product Performance'!$B$4:$B$13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₹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Product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Campaign Spend — Yesterday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'Campaign Performance'!B3</f>
            </strRef>
          </tx>
          <spPr>
            <a:ln>
              <a:prstDash val="solid"/>
            </a:ln>
          </spPr>
          <cat>
            <numRef>
              <f>'Campaign Performance'!$A$4:$A$7</f>
            </numRef>
          </cat>
          <val>
            <numRef>
              <f>'Campaign Performance'!$B$4:$B$7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₹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46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46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63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63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80</row>
      <rowOff>0</rowOff>
    </from>
    <ext cx="5760000" cy="32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7</col>
      <colOff>0</colOff>
      <row>80</row>
      <rowOff>0</rowOff>
    </from>
    <ext cx="5760000" cy="32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hopifyDaily" displayName="ShopifyDaily" ref="A1:J9" headerRowCount="1">
  <autoFilter ref="A1:J9"/>
  <tableColumns count="10">
    <tableColumn id="1" name="Date"/>
    <tableColumn id="2" name="Orders"/>
    <tableColumn id="3" name="Gross Sales"/>
    <tableColumn id="4" name="Discounts"/>
    <tableColumn id="5" name="Returns"/>
    <tableColumn id="6" name="Net Sales"/>
    <tableColumn id="7" name="Shipping"/>
    <tableColumn id="8" name="Taxes"/>
    <tableColumn id="9" name="Total Sales"/>
    <tableColumn id="10" name="AOV"/>
  </tableColumns>
  <tableStyleInfo name="TableStyleMedium2" showRowStripes="1"/>
</table>
</file>

<file path=xl/tables/table2.xml><?xml version="1.0" encoding="utf-8"?>
<table xmlns="http://schemas.openxmlformats.org/spreadsheetml/2006/main" id="2" name="MetaDaily" displayName="MetaDaily" ref="A1:K9" headerRowCount="1">
  <autoFilter ref="A1:K9"/>
  <tableColumns count="11">
    <tableColumn id="1" name="Date"/>
    <tableColumn id="2" name="Spend"/>
    <tableColumn id="3" name="Impressions"/>
    <tableColumn id="4" name="Reach"/>
    <tableColumn id="5" name="Clicks"/>
    <tableColumn id="6" name="CTR"/>
    <tableColumn id="7" name="CPC"/>
    <tableColumn id="8" name="CPM"/>
    <tableColumn id="9" name="Purchases (est.)"/>
    <tableColumn id="10" name="CPA"/>
    <tableColumn id="11" name="ROAS"/>
  </tableColumns>
  <tableStyleInfo name="TableStyleMedium2" showRowStripes="1"/>
</table>
</file>

<file path=xl/tables/table3.xml><?xml version="1.0" encoding="utf-8"?>
<table xmlns="http://schemas.openxmlformats.org/spreadsheetml/2006/main" id="3" name="ProductPerf" displayName="ProductPerf" ref="A3:F13" headerRowCount="1">
  <autoFilter ref="A3:F13"/>
  <tableColumns count="6">
    <tableColumn id="1" name="Product"/>
    <tableColumn id="2" name="Gross Sales"/>
    <tableColumn id="3" name="Net Sales"/>
    <tableColumn id="4" name="Orders"/>
    <tableColumn id="5" name="Avg Price"/>
    <tableColumn id="6" name="Share of Day's Gross Sales"/>
  </tableColumns>
  <tableStyleInfo name="TableStyleMedium2" showRowStripes="1"/>
</table>
</file>

<file path=xl/tables/table4.xml><?xml version="1.0" encoding="utf-8"?>
<table xmlns="http://schemas.openxmlformats.org/spreadsheetml/2006/main" id="4" name="InventoryWatch" displayName="InventoryWatch" ref="A17:F32" headerRowCount="1">
  <autoFilter ref="A17:F32"/>
  <tableColumns count="6">
    <tableColumn id="1" name="Product"/>
    <tableColumn id="2" name="Starting Units"/>
    <tableColumn id="3" name="Ending Units"/>
    <tableColumn id="4" name="Units Sold"/>
    <tableColumn id="5" name="Sell-Through"/>
    <tableColumn id="6" name="Status"/>
  </tableColumns>
  <tableStyleInfo name="TableStyleMedium9" showRowStripes="1"/>
</table>
</file>

<file path=xl/tables/table5.xml><?xml version="1.0" encoding="utf-8"?>
<table xmlns="http://schemas.openxmlformats.org/spreadsheetml/2006/main" id="5" name="CampaignPerf" displayName="CampaignPerf" ref="A3:I7" headerRowCount="1">
  <autoFilter ref="A3:I7"/>
  <tableColumns count="9">
    <tableColumn id="1" name="Campaign"/>
    <tableColumn id="2" name="Yesterday Spend"/>
    <tableColumn id="3" name="7-Day Avg Spend/Day"/>
    <tableColumn id="4" name="Yesterday ROAS"/>
    <tableColumn id="5" name="7-Day Avg ROAS"/>
    <tableColumn id="6" name="ROAS Change"/>
    <tableColumn id="7" name="Yesterday CPA"/>
    <tableColumn id="8" name="7-Day Avg CPA"/>
    <tableColumn id="9" name="Verdic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Relationship Type="http://schemas.openxmlformats.org/officeDocument/2006/relationships/table" Target="/xl/tables/table4.xml" Id="rId2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4" customWidth="1" min="2" max="2"/>
    <col width="34" customWidth="1" min="3" max="3"/>
    <col width="34" customWidth="1" min="4" max="4"/>
    <col width="34" customWidth="1" min="5" max="5"/>
    <col width="34" customWidth="1" min="6" max="6"/>
  </cols>
  <sheetData>
    <row r="1" ht="28" customHeight="1">
      <c r="A1" s="7" t="inlineStr">
        <is>
          <t>DAILY STORE &amp; ADS PERFORMANCE — 2026-07-16</t>
        </is>
      </c>
    </row>
    <row r="3" ht="22" customHeight="1">
      <c r="A3" s="9" t="inlineStr">
        <is>
          <t>EXECUTIVE SUMMARY</t>
        </is>
      </c>
    </row>
    <row r="4">
      <c r="A4" s="12" t="inlineStr">
        <is>
          <t>Yesterday was a solid day: net sales and orders both beat the 7-day average while returns and discounts came in lower than usual. Ad efficiency also improved — blended ROAS reached 3.94x (7-day avg 3.64x) on slightly lower spend. The main watch-items are one underperforming campaign ("Black DHURANDHAR"), a narrow-audience warning on one ad set, and two products that are completely out of stock.</t>
        </is>
      </c>
    </row>
    <row r="5"/>
    <row r="6"/>
    <row r="7"/>
    <row r="9" ht="22" customHeight="1">
      <c r="A9" s="9" t="inlineStr">
        <is>
          <t>SHOPIFY PERFORMANCE — Yesterday vs Previous 7-Day Average</t>
        </is>
      </c>
    </row>
    <row r="10">
      <c r="A10" s="13" t="inlineStr">
        <is>
          <t>Metric</t>
        </is>
      </c>
      <c r="B10" s="13" t="inlineStr">
        <is>
          <t>Yesterday</t>
        </is>
      </c>
      <c r="C10" s="13" t="inlineStr">
        <is>
          <t>7-Day Avg</t>
        </is>
      </c>
      <c r="D10" s="13" t="inlineStr">
        <is>
          <t>Change vs Avg</t>
        </is>
      </c>
      <c r="E10" s="13" t="inlineStr"/>
      <c r="F10" s="13" t="inlineStr"/>
    </row>
    <row r="11">
      <c r="A11" t="inlineStr">
        <is>
          <t>Gross Sales</t>
        </is>
      </c>
      <c r="B11" s="14">
        <f>'Shopify Daily Data'!C9</f>
        <v/>
      </c>
      <c r="C11" s="14">
        <f>AVERAGE('Shopify Daily Data'!C2:C8)</f>
        <v/>
      </c>
      <c r="D11" s="8">
        <f>(B11-C11)/C11</f>
        <v/>
      </c>
    </row>
    <row r="12">
      <c r="A12" t="inlineStr">
        <is>
          <t>Net Sales</t>
        </is>
      </c>
      <c r="B12" s="14">
        <f>'Shopify Daily Data'!F9</f>
        <v/>
      </c>
      <c r="C12" s="14">
        <f>AVERAGE('Shopify Daily Data'!F2:F8)</f>
        <v/>
      </c>
      <c r="D12" s="8">
        <f>(B12-C12)/C12</f>
        <v/>
      </c>
    </row>
    <row r="13">
      <c r="A13" t="inlineStr">
        <is>
          <t>Orders</t>
        </is>
      </c>
      <c r="B13" s="4">
        <f>'Shopify Daily Data'!B9</f>
        <v/>
      </c>
      <c r="C13" s="4">
        <f>AVERAGE('Shopify Daily Data'!B2:B8)</f>
        <v/>
      </c>
      <c r="D13" s="8">
        <f>(B13-C13)/C13</f>
        <v/>
      </c>
    </row>
    <row r="14">
      <c r="A14" t="inlineStr">
        <is>
          <t>Average Order Value</t>
        </is>
      </c>
      <c r="B14" s="14">
        <f>'Shopify Daily Data'!J9</f>
        <v/>
      </c>
      <c r="C14" s="14">
        <f>AVERAGE('Shopify Daily Data'!J2:J8)</f>
        <v/>
      </c>
      <c r="D14" s="8">
        <f>(B14-C14)/C14</f>
        <v/>
      </c>
    </row>
    <row r="15">
      <c r="A15" t="inlineStr">
        <is>
          <t>Discounts</t>
        </is>
      </c>
      <c r="B15" s="14">
        <f>'Shopify Daily Data'!D9</f>
        <v/>
      </c>
      <c r="C15" s="14">
        <f>AVERAGE('Shopify Daily Data'!D2:D8)</f>
        <v/>
      </c>
      <c r="D15" s="8">
        <f>(B15-C15)/C15</f>
        <v/>
      </c>
    </row>
    <row r="16">
      <c r="A16" t="inlineStr">
        <is>
          <t>Returns</t>
        </is>
      </c>
      <c r="B16" s="14">
        <f>'Shopify Daily Data'!E9</f>
        <v/>
      </c>
      <c r="C16" s="14">
        <f>AVERAGE('Shopify Daily Data'!E2:E8)</f>
        <v/>
      </c>
      <c r="D16" s="8">
        <f>(B16-C16)/C16</f>
        <v/>
      </c>
    </row>
    <row r="18" ht="22" customHeight="1">
      <c r="A18" s="9" t="inlineStr">
        <is>
          <t>META ADS PERFORMANCE — Yesterday vs Previous 7-Day Average</t>
        </is>
      </c>
    </row>
    <row r="19">
      <c r="A19" s="13" t="inlineStr">
        <is>
          <t>Metric</t>
        </is>
      </c>
      <c r="B19" s="13" t="inlineStr">
        <is>
          <t>Yesterday</t>
        </is>
      </c>
      <c r="C19" s="13" t="inlineStr">
        <is>
          <t>7-Day Avg</t>
        </is>
      </c>
      <c r="D19" s="13" t="inlineStr">
        <is>
          <t>Change vs Avg</t>
        </is>
      </c>
      <c r="E19" s="13" t="inlineStr"/>
      <c r="F19" s="13" t="inlineStr"/>
    </row>
    <row r="20">
      <c r="A20" t="inlineStr">
        <is>
          <t>Ad Spend</t>
        </is>
      </c>
      <c r="B20" s="14">
        <f>'Meta Ads Daily Data'!B9</f>
        <v/>
      </c>
      <c r="C20" s="14">
        <f>AVERAGE('Meta Ads Daily Data'!B2:B8)</f>
        <v/>
      </c>
      <c r="D20" s="8">
        <f>(B20-C20)/C20</f>
        <v/>
      </c>
    </row>
    <row r="21">
      <c r="A21" t="inlineStr">
        <is>
          <t>Impressions</t>
        </is>
      </c>
      <c r="B21" s="4">
        <f>'Meta Ads Daily Data'!C9</f>
        <v/>
      </c>
      <c r="C21" s="4">
        <f>AVERAGE('Meta Ads Daily Data'!C2:C8)</f>
        <v/>
      </c>
      <c r="D21" s="8">
        <f>(B21-C21)/C21</f>
        <v/>
      </c>
    </row>
    <row r="22">
      <c r="A22" t="inlineStr">
        <is>
          <t>Clicks</t>
        </is>
      </c>
      <c r="B22" s="4">
        <f>'Meta Ads Daily Data'!E9</f>
        <v/>
      </c>
      <c r="C22" s="4">
        <f>AVERAGE('Meta Ads Daily Data'!E2:E8)</f>
        <v/>
      </c>
      <c r="D22" s="8">
        <f>(B22-C22)/C22</f>
        <v/>
      </c>
    </row>
    <row r="23">
      <c r="A23" t="inlineStr">
        <is>
          <t>CTR</t>
        </is>
      </c>
      <c r="B23" s="5">
        <f>'Meta Ads Daily Data'!F9</f>
        <v/>
      </c>
      <c r="C23" s="5">
        <f>AVERAGE('Meta Ads Daily Data'!F2:F8)</f>
        <v/>
      </c>
      <c r="D23" s="8">
        <f>(B23-C23)/C23</f>
        <v/>
      </c>
    </row>
    <row r="24">
      <c r="A24" t="inlineStr">
        <is>
          <t>CPC</t>
        </is>
      </c>
      <c r="B24" s="14">
        <f>'Meta Ads Daily Data'!G9</f>
        <v/>
      </c>
      <c r="C24" s="14">
        <f>AVERAGE('Meta Ads Daily Data'!G2:G8)</f>
        <v/>
      </c>
      <c r="D24" s="8">
        <f>(B24-C24)/C24</f>
        <v/>
      </c>
    </row>
    <row r="25">
      <c r="A25" t="inlineStr">
        <is>
          <t>Purchases (est.)</t>
        </is>
      </c>
      <c r="B25" s="4">
        <f>'Meta Ads Daily Data'!I9</f>
        <v/>
      </c>
      <c r="C25" s="4">
        <f>AVERAGE('Meta Ads Daily Data'!I2:I8)</f>
        <v/>
      </c>
      <c r="D25" s="8">
        <f>(B25-C25)/C25</f>
        <v/>
      </c>
    </row>
    <row r="26">
      <c r="A26" t="inlineStr">
        <is>
          <t>CPA</t>
        </is>
      </c>
      <c r="B26" s="14">
        <f>'Meta Ads Daily Data'!J9</f>
        <v/>
      </c>
      <c r="C26" s="14">
        <f>AVERAGE('Meta Ads Daily Data'!J2:J8)</f>
        <v/>
      </c>
      <c r="D26" s="8">
        <f>(B26-C26)/C26</f>
        <v/>
      </c>
    </row>
    <row r="27">
      <c r="A27" t="inlineStr">
        <is>
          <t>ROAS</t>
        </is>
      </c>
      <c r="B27" s="6">
        <f>'Meta Ads Daily Data'!K9</f>
        <v/>
      </c>
      <c r="C27" s="6">
        <f>AVERAGE('Meta Ads Daily Data'!K2:K8)</f>
        <v/>
      </c>
      <c r="D27" s="8">
        <f>(B27-C27)/C27</f>
        <v/>
      </c>
    </row>
    <row r="29" ht="22" customHeight="1">
      <c r="A29" s="9" t="inlineStr">
        <is>
          <t>KEY WINS</t>
        </is>
      </c>
    </row>
    <row r="30">
      <c r="B30" t="inlineStr">
        <is>
          <t>Retargeting- new: 5.52x ROAS yesterday, lowest CPA (₹416) — scale it.</t>
        </is>
      </c>
    </row>
    <row r="31">
      <c r="B31" t="inlineStr">
        <is>
          <t>"New Campaign- for recovery" ROAS jumped from 2.46x (7-day avg) to 3.90x.</t>
        </is>
      </c>
    </row>
    <row r="32">
      <c r="B32" t="inlineStr">
        <is>
          <t>Net sales +7.5% vs 7-day avg with lower returns and discounts than usual.</t>
        </is>
      </c>
    </row>
    <row r="34" ht="22" customHeight="1">
      <c r="A34" s="9" t="inlineStr">
        <is>
          <t>KEY ISSUES</t>
        </is>
      </c>
    </row>
    <row r="35">
      <c r="B35" t="inlineStr">
        <is>
          <t>"Black DHURANDHAR" consistently weakest campaign (3.37x-3.41x ROAS).</t>
        </is>
      </c>
    </row>
    <row r="36">
      <c r="B36" t="inlineStr">
        <is>
          <t>Ad set "Black and multiple" flagged for narrow audience by Meta.</t>
        </is>
      </c>
    </row>
    <row r="37">
      <c r="B37" t="inlineStr">
        <is>
          <t>2 products fully out of stock (see Product Performance tab).</t>
        </is>
      </c>
    </row>
    <row r="39" ht="22" customHeight="1">
      <c r="A39" s="9" t="inlineStr">
        <is>
          <t>RECOMMENDED ACTIONS TODAY</t>
        </is>
      </c>
    </row>
    <row r="40">
      <c r="B40" t="inlineStr">
        <is>
          <t>1. Scale "Retargeting- new" budget +20-30%.</t>
        </is>
      </c>
    </row>
    <row r="41">
      <c r="B41" t="inlineStr">
        <is>
          <t>2. Review/optimize "Black DHURANDHAR" creative &amp; targeting.</t>
        </is>
      </c>
    </row>
    <row r="42">
      <c r="B42" t="inlineStr">
        <is>
          <t>3. Expand audience on "Black and multiple" ad set.</t>
        </is>
      </c>
    </row>
    <row r="43">
      <c r="B43" t="inlineStr">
        <is>
          <t>4. Restock or hide the 2 out-of-stock listings.</t>
        </is>
      </c>
    </row>
    <row r="44">
      <c r="B44" t="inlineStr">
        <is>
          <t>5. Watch stock on the top 2 products (62% of yesterday's product revenue).</t>
        </is>
      </c>
    </row>
  </sheetData>
  <mergeCells count="8">
    <mergeCell ref="A1:F1"/>
    <mergeCell ref="A9:F9"/>
    <mergeCell ref="A4:F7"/>
    <mergeCell ref="A34:F34"/>
    <mergeCell ref="A18:F18"/>
    <mergeCell ref="A3:F3"/>
    <mergeCell ref="A39:F39"/>
    <mergeCell ref="A29:F29"/>
  </mergeCells>
  <conditionalFormatting sqref="D11:D16">
    <cfRule type="cellIs" priority="1" operator="greaterThan" dxfId="2">
      <formula>0</formula>
    </cfRule>
    <cfRule type="cellIs" priority="2" operator="lessThan" dxfId="0">
      <formula>0</formula>
    </cfRule>
  </conditionalFormatting>
  <conditionalFormatting sqref="D20:D27">
    <cfRule type="cellIs" priority="3" operator="greaterThan" dxfId="2">
      <formula>0</formula>
    </cfRule>
    <cfRule type="cellIs" priority="4" operator="lessThan" dxfId="0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4" customWidth="1" min="3" max="3"/>
    <col width="12" customWidth="1" min="4" max="4"/>
    <col width="11" customWidth="1" min="5" max="5"/>
    <col width="12" customWidth="1" min="6" max="6"/>
    <col width="11" customWidth="1" min="7" max="7"/>
    <col width="10" customWidth="1" min="8" max="8"/>
    <col width="14" customWidth="1" min="9" max="9"/>
    <col width="10" customWidth="1" min="10" max="10"/>
  </cols>
  <sheetData>
    <row r="1">
      <c r="A1" s="1" t="inlineStr">
        <is>
          <t>Date</t>
        </is>
      </c>
      <c r="B1" s="1" t="inlineStr">
        <is>
          <t>Orders</t>
        </is>
      </c>
      <c r="C1" s="1" t="inlineStr">
        <is>
          <t>Gross Sales</t>
        </is>
      </c>
      <c r="D1" s="1" t="inlineStr">
        <is>
          <t>Discounts</t>
        </is>
      </c>
      <c r="E1" s="1" t="inlineStr">
        <is>
          <t>Returns</t>
        </is>
      </c>
      <c r="F1" s="1" t="inlineStr">
        <is>
          <t>Net Sales</t>
        </is>
      </c>
      <c r="G1" s="1" t="inlineStr">
        <is>
          <t>Shipping</t>
        </is>
      </c>
      <c r="H1" s="1" t="inlineStr">
        <is>
          <t>Taxes</t>
        </is>
      </c>
      <c r="I1" s="1" t="inlineStr">
        <is>
          <t>Total Sales</t>
        </is>
      </c>
      <c r="J1" s="1" t="inlineStr">
        <is>
          <t>AOV</t>
        </is>
      </c>
    </row>
    <row r="2">
      <c r="A2" s="15" t="inlineStr">
        <is>
          <t>2026-07-09</t>
        </is>
      </c>
      <c r="B2" t="n">
        <v>73</v>
      </c>
      <c r="C2" s="14" t="n">
        <v>190834.8</v>
      </c>
      <c r="D2" s="14" t="n">
        <v>-1862.32</v>
      </c>
      <c r="E2" s="14" t="n">
        <v>-2499</v>
      </c>
      <c r="F2" s="14" t="n">
        <v>186473.48</v>
      </c>
      <c r="G2" s="14" t="n">
        <v>0</v>
      </c>
      <c r="H2" s="14" t="n">
        <v>381.2</v>
      </c>
      <c r="I2" s="14" t="n">
        <v>186854.68</v>
      </c>
      <c r="J2" s="14" t="n">
        <v>2588.66</v>
      </c>
    </row>
    <row r="3">
      <c r="A3" s="15" t="inlineStr">
        <is>
          <t>2026-07-10</t>
        </is>
      </c>
      <c r="B3" t="n">
        <v>50</v>
      </c>
      <c r="C3" s="14" t="n">
        <v>121913.25</v>
      </c>
      <c r="D3" s="14" t="n">
        <v>-1613.22</v>
      </c>
      <c r="E3" s="14" t="n">
        <v>0</v>
      </c>
      <c r="F3" s="14" t="n">
        <v>120300.03</v>
      </c>
      <c r="G3" s="14" t="n">
        <v>0</v>
      </c>
      <c r="H3" s="14" t="n">
        <v>0</v>
      </c>
      <c r="I3" s="14" t="n">
        <v>120833.78</v>
      </c>
      <c r="J3" s="14" t="n">
        <v>2406</v>
      </c>
    </row>
    <row r="4">
      <c r="A4" s="15" t="inlineStr">
        <is>
          <t>2026-07-11</t>
        </is>
      </c>
      <c r="B4" t="n">
        <v>55</v>
      </c>
      <c r="C4" s="14" t="n">
        <v>130491</v>
      </c>
      <c r="D4" s="14" t="n">
        <v>-1759.27</v>
      </c>
      <c r="E4" s="14" t="n">
        <v>0</v>
      </c>
      <c r="F4" s="14" t="n">
        <v>128731.73</v>
      </c>
      <c r="G4" s="14" t="n">
        <v>0</v>
      </c>
      <c r="H4" s="14" t="n">
        <v>0</v>
      </c>
      <c r="I4" s="14" t="n">
        <v>128731.73</v>
      </c>
      <c r="J4" s="14" t="n">
        <v>2340.58</v>
      </c>
    </row>
    <row r="5">
      <c r="A5" s="15" t="inlineStr">
        <is>
          <t>2026-07-12</t>
        </is>
      </c>
      <c r="B5" t="n">
        <v>87</v>
      </c>
      <c r="C5" s="14" t="n">
        <v>269307.8</v>
      </c>
      <c r="D5" s="14" t="n">
        <v>-839.65</v>
      </c>
      <c r="E5" s="14" t="n">
        <v>-47285</v>
      </c>
      <c r="F5" s="14" t="n">
        <v>221183.15</v>
      </c>
      <c r="G5" s="14" t="n">
        <v>0</v>
      </c>
      <c r="H5" s="14" t="n">
        <v>381.2</v>
      </c>
      <c r="I5" s="14" t="n">
        <v>221564.35</v>
      </c>
      <c r="J5" s="14" t="n">
        <v>3085.84</v>
      </c>
    </row>
    <row r="6">
      <c r="A6" s="15" t="inlineStr">
        <is>
          <t>2026-07-13</t>
        </is>
      </c>
      <c r="B6" t="n">
        <v>55</v>
      </c>
      <c r="C6" s="14" t="n">
        <v>142333.07</v>
      </c>
      <c r="D6" s="14" t="n">
        <v>-3105.69</v>
      </c>
      <c r="E6" s="14" t="n">
        <v>0</v>
      </c>
      <c r="F6" s="14" t="n">
        <v>139227.38</v>
      </c>
      <c r="G6" s="14" t="n">
        <v>0</v>
      </c>
      <c r="H6" s="14" t="n">
        <v>304.93</v>
      </c>
      <c r="I6" s="14" t="n">
        <v>139532.31</v>
      </c>
      <c r="J6" s="14" t="n">
        <v>2531.41</v>
      </c>
    </row>
    <row r="7">
      <c r="A7" s="15" t="inlineStr">
        <is>
          <t>2026-07-14</t>
        </is>
      </c>
      <c r="B7" t="n">
        <v>57</v>
      </c>
      <c r="C7" s="14" t="n">
        <v>144836</v>
      </c>
      <c r="D7" s="14" t="n">
        <v>-314.85</v>
      </c>
      <c r="E7" s="14" t="n">
        <v>-1999</v>
      </c>
      <c r="F7" s="14" t="n">
        <v>142522.15</v>
      </c>
      <c r="G7" s="14" t="n">
        <v>0</v>
      </c>
      <c r="H7" s="14" t="n">
        <v>0</v>
      </c>
      <c r="I7" s="14" t="n">
        <v>142522.15</v>
      </c>
      <c r="J7" s="14" t="n">
        <v>2535.46</v>
      </c>
    </row>
    <row r="8">
      <c r="A8" s="15" t="inlineStr">
        <is>
          <t>2026-07-15</t>
        </is>
      </c>
      <c r="B8" t="n">
        <v>64</v>
      </c>
      <c r="C8" s="14" t="n">
        <v>166129</v>
      </c>
      <c r="D8" s="14" t="n">
        <v>-1092.05</v>
      </c>
      <c r="E8" s="14" t="n">
        <v>0</v>
      </c>
      <c r="F8" s="14" t="n">
        <v>165036.95</v>
      </c>
      <c r="G8" s="14" t="n">
        <v>0</v>
      </c>
      <c r="H8" s="14" t="n">
        <v>0</v>
      </c>
      <c r="I8" s="14" t="n">
        <v>165036.95</v>
      </c>
      <c r="J8" s="14" t="n">
        <v>2578.7</v>
      </c>
    </row>
    <row r="9">
      <c r="A9" s="15" t="inlineStr">
        <is>
          <t>2026-07-16</t>
        </is>
      </c>
      <c r="B9" t="n">
        <v>69</v>
      </c>
      <c r="C9" s="14" t="n">
        <v>172575</v>
      </c>
      <c r="D9" s="14" t="n">
        <v>-914.6</v>
      </c>
      <c r="E9" s="14" t="n">
        <v>-2199</v>
      </c>
      <c r="F9" s="14" t="n">
        <v>169461.4</v>
      </c>
      <c r="G9" s="14" t="n">
        <v>0</v>
      </c>
      <c r="H9" s="14" t="n">
        <v>0</v>
      </c>
      <c r="I9" s="14" t="n">
        <v>169461.4</v>
      </c>
      <c r="J9" s="14" t="n">
        <v>2487.83</v>
      </c>
    </row>
  </sheetData>
  <conditionalFormatting sqref="E2:E9">
    <cfRule type="cellIs" priority="1" operator="lessThan" dxfId="0">
      <formula>-10000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1" customWidth="1" min="2" max="2"/>
    <col width="14" customWidth="1" min="3" max="3"/>
    <col width="10" customWidth="1" min="4" max="4"/>
    <col width="10" customWidth="1" min="5" max="5"/>
    <col width="23" customWidth="1" min="6" max="6"/>
    <col width="10" customWidth="1" min="7" max="7"/>
    <col width="10" customWidth="1" min="8" max="8"/>
    <col width="19" customWidth="1" min="9" max="9"/>
    <col width="10" customWidth="1" min="10" max="10"/>
    <col width="10" customWidth="1" min="11" max="11"/>
  </cols>
  <sheetData>
    <row r="1">
      <c r="A1" s="1" t="inlineStr">
        <is>
          <t>Date</t>
        </is>
      </c>
      <c r="B1" s="1" t="inlineStr">
        <is>
          <t>Spend</t>
        </is>
      </c>
      <c r="C1" s="1" t="inlineStr">
        <is>
          <t>Impressions</t>
        </is>
      </c>
      <c r="D1" s="1" t="inlineStr">
        <is>
          <t>Reach</t>
        </is>
      </c>
      <c r="E1" s="1" t="inlineStr">
        <is>
          <t>Clicks</t>
        </is>
      </c>
      <c r="F1" s="1" t="inlineStr">
        <is>
          <t>CTR</t>
        </is>
      </c>
      <c r="G1" s="1" t="inlineStr">
        <is>
          <t>CPC</t>
        </is>
      </c>
      <c r="H1" s="1" t="inlineStr">
        <is>
          <t>CPM</t>
        </is>
      </c>
      <c r="I1" s="1" t="inlineStr">
        <is>
          <t>Purchases (est.)</t>
        </is>
      </c>
      <c r="J1" s="1" t="inlineStr">
        <is>
          <t>CPA</t>
        </is>
      </c>
      <c r="K1" s="1" t="inlineStr">
        <is>
          <t>ROAS</t>
        </is>
      </c>
    </row>
    <row r="2">
      <c r="A2" s="15" t="inlineStr">
        <is>
          <t>2026-07-09</t>
        </is>
      </c>
      <c r="B2" s="14" t="n">
        <v>43342.39</v>
      </c>
      <c r="C2" s="4" t="n">
        <v>258075</v>
      </c>
      <c r="D2" s="4" t="n">
        <v>206133</v>
      </c>
      <c r="E2" s="4" t="n">
        <v>6024</v>
      </c>
      <c r="F2" s="5" t="n">
        <v>0.0233</v>
      </c>
      <c r="G2" s="14" t="n">
        <v>7.19</v>
      </c>
      <c r="H2" s="14" t="n">
        <v>167.94</v>
      </c>
      <c r="I2" s="4" t="n">
        <v>66</v>
      </c>
      <c r="J2" s="14" t="n">
        <v>656.7</v>
      </c>
      <c r="K2" s="6" t="n">
        <v>3.87</v>
      </c>
    </row>
    <row r="3">
      <c r="A3" s="15" t="inlineStr">
        <is>
          <t>2026-07-10</t>
        </is>
      </c>
      <c r="B3" s="14" t="n">
        <v>41607.98</v>
      </c>
      <c r="C3" s="4" t="n">
        <v>247234</v>
      </c>
      <c r="D3" s="4" t="n">
        <v>207925</v>
      </c>
      <c r="E3" s="4" t="n">
        <v>5570</v>
      </c>
      <c r="F3" s="5" t="n">
        <v>0.0225</v>
      </c>
      <c r="G3" s="14" t="n">
        <v>7.47</v>
      </c>
      <c r="H3" s="14" t="n">
        <v>168.29</v>
      </c>
      <c r="I3" s="4" t="n">
        <v>47</v>
      </c>
      <c r="J3" s="14" t="n">
        <v>885.28</v>
      </c>
      <c r="K3" s="6" t="n">
        <v>2.7</v>
      </c>
    </row>
    <row r="4">
      <c r="A4" s="15" t="inlineStr">
        <is>
          <t>2026-07-11</t>
        </is>
      </c>
      <c r="B4" s="14" t="n">
        <v>35653.1</v>
      </c>
      <c r="C4" s="4" t="n">
        <v>216060</v>
      </c>
      <c r="D4" s="4" t="n">
        <v>180186</v>
      </c>
      <c r="E4" s="4" t="n">
        <v>4684</v>
      </c>
      <c r="F4" s="5" t="n">
        <v>0.0217</v>
      </c>
      <c r="G4" s="14" t="n">
        <v>7.61</v>
      </c>
      <c r="H4" s="14" t="n">
        <v>165.01</v>
      </c>
      <c r="I4" s="4" t="n">
        <v>53</v>
      </c>
      <c r="J4" s="14" t="n">
        <v>672.7</v>
      </c>
      <c r="K4" s="6" t="n">
        <v>3.49</v>
      </c>
    </row>
    <row r="5">
      <c r="A5" s="15" t="inlineStr">
        <is>
          <t>2026-07-12</t>
        </is>
      </c>
      <c r="B5" s="14" t="n">
        <v>47584.42</v>
      </c>
      <c r="C5" s="4" t="n">
        <v>259228</v>
      </c>
      <c r="D5" s="4" t="n">
        <v>214990</v>
      </c>
      <c r="E5" s="4" t="n">
        <v>5765</v>
      </c>
      <c r="F5" s="5" t="n">
        <v>0.0222</v>
      </c>
      <c r="G5" s="14" t="n">
        <v>8.25</v>
      </c>
      <c r="H5" s="14" t="n">
        <v>183.56</v>
      </c>
      <c r="I5" s="4" t="n">
        <v>84</v>
      </c>
      <c r="J5" s="14" t="n">
        <v>566.48</v>
      </c>
      <c r="K5" s="6" t="n">
        <v>5.45</v>
      </c>
    </row>
    <row r="6">
      <c r="A6" s="15" t="inlineStr">
        <is>
          <t>2026-07-13</t>
        </is>
      </c>
      <c r="B6" s="14" t="n">
        <v>45884.99</v>
      </c>
      <c r="C6" s="4" t="n">
        <v>236170</v>
      </c>
      <c r="D6" s="4" t="n">
        <v>184417</v>
      </c>
      <c r="E6" s="4" t="n">
        <v>5178</v>
      </c>
      <c r="F6" s="5" t="n">
        <v>0.0219</v>
      </c>
      <c r="G6" s="14" t="n">
        <v>8.859999999999999</v>
      </c>
      <c r="H6" s="14" t="n">
        <v>194.29</v>
      </c>
      <c r="I6" s="4" t="n">
        <v>54</v>
      </c>
      <c r="J6" s="14" t="n">
        <v>849.72</v>
      </c>
      <c r="K6" s="6" t="n">
        <v>3</v>
      </c>
    </row>
    <row r="7">
      <c r="A7" s="15" t="inlineStr">
        <is>
          <t>2026-07-14</t>
        </is>
      </c>
      <c r="B7" s="14" t="n">
        <v>44951.34</v>
      </c>
      <c r="C7" s="4" t="n">
        <v>232320</v>
      </c>
      <c r="D7" s="4" t="n">
        <v>189826</v>
      </c>
      <c r="E7" s="4" t="n">
        <v>5440</v>
      </c>
      <c r="F7" s="5" t="n">
        <v>0.0234</v>
      </c>
      <c r="G7" s="14" t="n">
        <v>8.26</v>
      </c>
      <c r="H7" s="14" t="n">
        <v>193.49</v>
      </c>
      <c r="I7" s="4" t="n">
        <v>57</v>
      </c>
      <c r="J7" s="14" t="n">
        <v>788.62</v>
      </c>
      <c r="K7" s="6" t="n">
        <v>3.17</v>
      </c>
    </row>
    <row r="8">
      <c r="A8" s="15" t="inlineStr">
        <is>
          <t>2026-07-15</t>
        </is>
      </c>
      <c r="B8" s="14" t="n">
        <v>43931.17</v>
      </c>
      <c r="C8" s="4" t="n">
        <v>254112</v>
      </c>
      <c r="D8" s="4" t="n">
        <v>199911</v>
      </c>
      <c r="E8" s="4" t="n">
        <v>6195</v>
      </c>
      <c r="F8" s="5" t="n">
        <v>0.0244</v>
      </c>
      <c r="G8" s="14" t="n">
        <v>7.09</v>
      </c>
      <c r="H8" s="14" t="n">
        <v>172.88</v>
      </c>
      <c r="I8" s="4" t="n">
        <v>61</v>
      </c>
      <c r="J8" s="14" t="n">
        <v>720.1799999999999</v>
      </c>
      <c r="K8" s="6" t="n">
        <v>3.62</v>
      </c>
    </row>
    <row r="9">
      <c r="A9" s="15" t="inlineStr">
        <is>
          <t>2026-07-16</t>
        </is>
      </c>
      <c r="B9" s="14" t="n">
        <v>43466.32</v>
      </c>
      <c r="C9" s="4" t="n">
        <v>279460</v>
      </c>
      <c r="D9" s="4" t="n">
        <v>216156</v>
      </c>
      <c r="E9" s="4" t="n">
        <v>6412</v>
      </c>
      <c r="F9" s="5" t="n">
        <v>0.0229</v>
      </c>
      <c r="G9" s="14" t="n">
        <v>6.78</v>
      </c>
      <c r="H9" s="14" t="n">
        <v>155.54</v>
      </c>
      <c r="I9" s="4" t="n">
        <v>69</v>
      </c>
      <c r="J9" s="14" t="n">
        <v>629.95</v>
      </c>
      <c r="K9" s="6" t="n">
        <v>3.94</v>
      </c>
    </row>
  </sheetData>
  <conditionalFormatting sqref="K2:K9">
    <cfRule type="cellIs" priority="1" operator="lessThan" dxfId="0">
      <formula>1.5</formula>
    </cfRule>
    <cfRule type="expression" priority="2" dxfId="1">
      <formula>AND(K2&gt;=1.5,K2&lt;=3)</formula>
    </cfRule>
    <cfRule type="cellIs" priority="3" operator="greaterThan" dxfId="2">
      <formula>3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5" customWidth="1" min="1" max="1"/>
    <col width="17" customWidth="1" min="2" max="2"/>
    <col width="15" customWidth="1" min="3" max="3"/>
    <col width="13" customWidth="1" min="4" max="4"/>
    <col width="15" customWidth="1" min="5" max="5"/>
    <col width="29" customWidth="1" min="6" max="6"/>
  </cols>
  <sheetData>
    <row r="1" ht="28" customHeight="1">
      <c r="A1" s="7" t="inlineStr">
        <is>
          <t>Product Performance — Yesterday (2026-07-16)</t>
        </is>
      </c>
    </row>
    <row r="3">
      <c r="A3" s="1" t="inlineStr">
        <is>
          <t>Product</t>
        </is>
      </c>
      <c r="B3" s="1" t="inlineStr">
        <is>
          <t>Gross Sales</t>
        </is>
      </c>
      <c r="C3" s="1" t="inlineStr">
        <is>
          <t>Net Sales</t>
        </is>
      </c>
      <c r="D3" s="1" t="inlineStr">
        <is>
          <t>Orders</t>
        </is>
      </c>
      <c r="E3" s="1" t="inlineStr">
        <is>
          <t>Avg Price</t>
        </is>
      </c>
      <c r="F3" s="1" t="inlineStr">
        <is>
          <t>Share of Day's Gross Sales</t>
        </is>
      </c>
    </row>
    <row r="4">
      <c r="A4" t="inlineStr">
        <is>
          <t>Ira Rayon Co-ord Set for Women | Relaxed Fit Shirt Top with Draped Pants</t>
        </is>
      </c>
      <c r="B4" s="14" t="n">
        <v>42483</v>
      </c>
      <c r="C4" s="14" t="n">
        <v>42108.15</v>
      </c>
      <c r="D4" s="4" t="n">
        <v>16</v>
      </c>
      <c r="E4" s="14" t="n">
        <v>2655.19</v>
      </c>
      <c r="F4" s="8">
        <f>B4/SUM($B$4:$B$13)</f>
        <v/>
      </c>
    </row>
    <row r="5">
      <c r="A5" t="inlineStr">
        <is>
          <t>"The Essential" - White Cotton Shirt &amp; Pant Co-ord Set</t>
        </is>
      </c>
      <c r="B5" s="14" t="n">
        <v>36782</v>
      </c>
      <c r="C5" s="14" t="n">
        <v>34583</v>
      </c>
      <c r="D5" s="4" t="n">
        <v>18</v>
      </c>
      <c r="E5" s="14" t="n">
        <v>2043.44</v>
      </c>
      <c r="F5" s="8">
        <f>B5/SUM($B$4:$B$13)</f>
        <v/>
      </c>
    </row>
    <row r="6">
      <c r="A6" t="inlineStr">
        <is>
          <t>Eclipse Grace Premium Crepe Salwar Suit set | DHIRAI</t>
        </is>
      </c>
      <c r="B6" s="14" t="n">
        <v>8997</v>
      </c>
      <c r="C6" s="14" t="n">
        <v>8997</v>
      </c>
      <c r="D6" s="4" t="n">
        <v>3</v>
      </c>
      <c r="E6" s="14" t="n">
        <v>2999</v>
      </c>
      <c r="F6" s="8">
        <f>B6/SUM($B$4:$B$13)</f>
        <v/>
      </c>
    </row>
    <row r="7">
      <c r="A7" t="inlineStr">
        <is>
          <t>The Dhurandhar Black Short Kurta Set | A Dhirai Essential</t>
        </is>
      </c>
      <c r="B7" s="14" t="n">
        <v>6747</v>
      </c>
      <c r="C7" s="14" t="n">
        <v>6522.1</v>
      </c>
      <c r="D7" s="4" t="n">
        <v>3</v>
      </c>
      <c r="E7" s="14" t="n">
        <v>2249</v>
      </c>
      <c r="F7" s="8">
        <f>B7/SUM($B$4:$B$13)</f>
        <v/>
      </c>
    </row>
    <row r="8">
      <c r="A8" t="inlineStr">
        <is>
          <t>VAIRA Airy Linen Everyday Co-ord Set | Women's Shirt and Pant</t>
        </is>
      </c>
      <c r="B8" s="14" t="n">
        <v>6097</v>
      </c>
      <c r="C8" s="14" t="n">
        <v>6097</v>
      </c>
      <c r="D8" s="4" t="n">
        <v>3</v>
      </c>
      <c r="E8" s="14" t="n">
        <v>2032.33</v>
      </c>
      <c r="F8" s="8">
        <f>B8/SUM($B$4:$B$13)</f>
        <v/>
      </c>
    </row>
    <row r="9">
      <c r="A9" t="inlineStr">
        <is>
          <t>"Inayat" — Power Pastel Cotton Shirt &amp; Trouser Co-ord Set</t>
        </is>
      </c>
      <c r="B9" s="14" t="n">
        <v>5997</v>
      </c>
      <c r="C9" s="14" t="n">
        <v>5897.05</v>
      </c>
      <c r="D9" s="4" t="n">
        <v>3</v>
      </c>
      <c r="E9" s="14" t="n">
        <v>1999</v>
      </c>
      <c r="F9" s="8">
        <f>B9/SUM($B$4:$B$13)</f>
        <v/>
      </c>
    </row>
    <row r="10">
      <c r="A10" t="inlineStr">
        <is>
          <t>Everyday Elegance Cotton Kurta Pant Set</t>
        </is>
      </c>
      <c r="B10" s="14" t="n">
        <v>5997</v>
      </c>
      <c r="C10" s="14" t="n">
        <v>5997</v>
      </c>
      <c r="D10" s="4" t="n">
        <v>3</v>
      </c>
      <c r="E10" s="14" t="n">
        <v>1999</v>
      </c>
      <c r="F10" s="8">
        <f>B10/SUM($B$4:$B$13)</f>
        <v/>
      </c>
    </row>
    <row r="11">
      <c r="A11" t="inlineStr">
        <is>
          <t>"Rakta" - Crimson Red Shalwar Suit Set</t>
        </is>
      </c>
      <c r="B11" s="14" t="n">
        <v>5098</v>
      </c>
      <c r="C11" s="14" t="n">
        <v>5098</v>
      </c>
      <c r="D11" s="4" t="n">
        <v>2</v>
      </c>
      <c r="E11" s="14" t="n">
        <v>2549</v>
      </c>
      <c r="F11" s="8">
        <f>B11/SUM($B$4:$B$13)</f>
        <v/>
      </c>
    </row>
    <row r="12">
      <c r="A12" t="inlineStr">
        <is>
          <t>"Maira" — Premium Pure Cotton Minimalist Co-ord Set</t>
        </is>
      </c>
      <c r="B12" s="14" t="n">
        <v>4998</v>
      </c>
      <c r="C12" s="14" t="n">
        <v>4998</v>
      </c>
      <c r="D12" s="4" t="n">
        <v>2</v>
      </c>
      <c r="E12" s="14" t="n">
        <v>2499</v>
      </c>
      <c r="F12" s="8">
        <f>B12/SUM($B$4:$B$13)</f>
        <v/>
      </c>
    </row>
    <row r="13">
      <c r="A13" t="inlineStr">
        <is>
          <t>Premium Cotton Flex Tie-Up Kurta Set for Women — Embroidered Ethnic Suit</t>
        </is>
      </c>
      <c r="B13" s="14" t="n">
        <v>4998</v>
      </c>
      <c r="C13" s="14" t="n">
        <v>4998</v>
      </c>
      <c r="D13" s="4" t="n">
        <v>2</v>
      </c>
      <c r="E13" s="14" t="n">
        <v>2499</v>
      </c>
      <c r="F13" s="8">
        <f>B13/SUM($B$4:$B$13)</f>
        <v/>
      </c>
    </row>
    <row r="16" ht="22" customHeight="1">
      <c r="A16" s="9" t="inlineStr">
        <is>
          <t>Inventory Watch — Lowest Stock Items (yesterday snapshot)</t>
        </is>
      </c>
    </row>
    <row r="17">
      <c r="A17" s="1" t="inlineStr">
        <is>
          <t>Product</t>
        </is>
      </c>
      <c r="B17" s="1" t="inlineStr">
        <is>
          <t>Starting Units</t>
        </is>
      </c>
      <c r="C17" s="1" t="inlineStr">
        <is>
          <t>Ending Units</t>
        </is>
      </c>
      <c r="D17" s="1" t="inlineStr">
        <is>
          <t>Units Sold</t>
        </is>
      </c>
      <c r="E17" s="1" t="inlineStr">
        <is>
          <t>Sell-Through</t>
        </is>
      </c>
      <c r="F17" s="1" t="inlineStr">
        <is>
          <t>Status</t>
        </is>
      </c>
    </row>
    <row r="18">
      <c r="A18" t="inlineStr">
        <is>
          <t>"Zariya" Stone Hoops</t>
        </is>
      </c>
      <c r="B18" s="4" t="n">
        <v>0</v>
      </c>
      <c r="C18" s="4" t="n">
        <v>0</v>
      </c>
      <c r="D18" s="4" t="n">
        <v>0</v>
      </c>
      <c r="F18" t="inlineStr">
        <is>
          <t>OUT OF STOCK</t>
        </is>
      </c>
    </row>
    <row r="19">
      <c r="A19" t="inlineStr">
        <is>
          <t>"Utsav" - Mal Cotton Full Flare Anarkali Suit Set with Silver Gota</t>
        </is>
      </c>
      <c r="B19" s="4" t="n">
        <v>0</v>
      </c>
      <c r="C19" s="4" t="n">
        <v>0</v>
      </c>
      <c r="D19" s="4" t="n">
        <v>0</v>
      </c>
      <c r="F19" t="inlineStr">
        <is>
          <t>OUT OF STOCK</t>
        </is>
      </c>
    </row>
    <row r="20">
      <c r="A20" t="inlineStr">
        <is>
          <t>"Nazakat" Long Chain Jhumki Earrings</t>
        </is>
      </c>
      <c r="B20" s="4" t="n">
        <v>150</v>
      </c>
      <c r="C20" s="4" t="n">
        <v>150</v>
      </c>
      <c r="D20" s="4" t="n">
        <v>0</v>
      </c>
      <c r="E20" s="5" t="n">
        <v>0</v>
      </c>
      <c r="F20" t="inlineStr">
        <is>
          <t>OK</t>
        </is>
      </c>
    </row>
    <row r="21">
      <c r="A21" t="inlineStr">
        <is>
          <t>Eclipse Grace Premium Crepe Salwar Suit set | DHIRAI</t>
        </is>
      </c>
      <c r="B21" s="4" t="n">
        <v>315</v>
      </c>
      <c r="C21" s="4" t="n">
        <v>312</v>
      </c>
      <c r="D21" s="4" t="n">
        <v>3</v>
      </c>
      <c r="E21" s="5" t="n">
        <v>0.0095</v>
      </c>
      <c r="F21" t="inlineStr">
        <is>
          <t>OK</t>
        </is>
      </c>
    </row>
    <row r="22">
      <c r="A22" t="inlineStr">
        <is>
          <t>Sage Aura cotton Kurta Set | DHIRAI</t>
        </is>
      </c>
      <c r="B22" s="4" t="n">
        <v>357</v>
      </c>
      <c r="C22" s="4" t="n">
        <v>357</v>
      </c>
      <c r="D22" s="4" t="n">
        <v>0</v>
      </c>
      <c r="E22" s="5" t="n">
        <v>0</v>
      </c>
      <c r="F22" t="inlineStr">
        <is>
          <t>OK</t>
        </is>
      </c>
    </row>
    <row r="23">
      <c r="A23" t="inlineStr">
        <is>
          <t>Rani Grace kurta  Set</t>
        </is>
      </c>
      <c r="B23" s="4" t="n">
        <v>398</v>
      </c>
      <c r="C23" s="4" t="n">
        <v>398</v>
      </c>
      <c r="D23" s="4" t="n">
        <v>0</v>
      </c>
      <c r="E23" s="5" t="n">
        <v>0</v>
      </c>
      <c r="F23" t="inlineStr">
        <is>
          <t>OK</t>
        </is>
      </c>
    </row>
    <row r="24">
      <c r="A24" t="inlineStr">
        <is>
          <t>Love Note Co-Ord Set</t>
        </is>
      </c>
      <c r="B24" s="4" t="n">
        <v>399</v>
      </c>
      <c r="C24" s="4" t="n">
        <v>399</v>
      </c>
      <c r="D24" s="4" t="n">
        <v>0</v>
      </c>
      <c r="E24" s="5" t="n">
        <v>0</v>
      </c>
      <c r="F24" t="inlineStr">
        <is>
          <t>OK</t>
        </is>
      </c>
    </row>
    <row r="25">
      <c r="A25" t="inlineStr">
        <is>
          <t>Monochrome Aura Kurta Set | DHIRAI</t>
        </is>
      </c>
      <c r="B25" s="4" t="n">
        <v>399</v>
      </c>
      <c r="C25" s="4" t="n">
        <v>399</v>
      </c>
      <c r="D25" s="4" t="n">
        <v>0</v>
      </c>
      <c r="E25" s="5" t="n">
        <v>0</v>
      </c>
      <c r="F25" t="inlineStr">
        <is>
          <t>OK</t>
        </is>
      </c>
    </row>
    <row r="26">
      <c r="A26" t="inlineStr">
        <is>
          <t>Sage Serenity Cotton Co-Ord Set for Women | DHIRAI</t>
        </is>
      </c>
      <c r="B26" s="4" t="n">
        <v>400</v>
      </c>
      <c r="C26" s="4" t="n">
        <v>400</v>
      </c>
      <c r="D26" s="4" t="n">
        <v>0</v>
      </c>
      <c r="E26" s="5" t="n">
        <v>0</v>
      </c>
      <c r="F26" t="inlineStr">
        <is>
          <t>OK</t>
        </is>
      </c>
    </row>
    <row r="27">
      <c r="A27" t="inlineStr">
        <is>
          <t>Berry Bloom Farshi Salwar Set</t>
        </is>
      </c>
      <c r="B27" s="4" t="n">
        <v>400</v>
      </c>
      <c r="C27" s="4" t="n">
        <v>400</v>
      </c>
      <c r="D27" s="4" t="n">
        <v>0</v>
      </c>
      <c r="E27" s="5" t="n">
        <v>0</v>
      </c>
      <c r="F27" t="inlineStr">
        <is>
          <t>OK</t>
        </is>
      </c>
    </row>
    <row r="28">
      <c r="A28" t="inlineStr">
        <is>
          <t>Caramel Grace Co-Ord Set| DHIRAI</t>
        </is>
      </c>
      <c r="B28" s="4" t="n">
        <v>400</v>
      </c>
      <c r="C28" s="4" t="n">
        <v>400</v>
      </c>
      <c r="D28" s="4" t="n">
        <v>0</v>
      </c>
      <c r="E28" s="5" t="n">
        <v>0</v>
      </c>
      <c r="F28" t="inlineStr">
        <is>
          <t>OK</t>
        </is>
      </c>
    </row>
    <row r="29">
      <c r="A29" t="inlineStr">
        <is>
          <t>Saffron Grace Kurta Set| DHIRAI</t>
        </is>
      </c>
      <c r="B29" s="4" t="n">
        <v>400</v>
      </c>
      <c r="C29" s="4" t="n">
        <v>400</v>
      </c>
      <c r="D29" s="4" t="n">
        <v>0</v>
      </c>
      <c r="E29" s="5" t="n">
        <v>0</v>
      </c>
      <c r="F29" t="inlineStr">
        <is>
          <t>OK</t>
        </is>
      </c>
    </row>
    <row r="30">
      <c r="A30" t="inlineStr">
        <is>
          <t>Rust Bloom Co-Ord Set</t>
        </is>
      </c>
      <c r="B30" s="4" t="n">
        <v>400</v>
      </c>
      <c r="C30" s="4" t="n">
        <v>400</v>
      </c>
      <c r="D30" s="4" t="n">
        <v>0</v>
      </c>
      <c r="E30" s="5" t="n">
        <v>0</v>
      </c>
      <c r="F30" t="inlineStr">
        <is>
          <t>OK</t>
        </is>
      </c>
    </row>
    <row r="31">
      <c r="A31" t="inlineStr">
        <is>
          <t>Sunstone Co-Ord Set</t>
        </is>
      </c>
      <c r="B31" s="4" t="n">
        <v>400</v>
      </c>
      <c r="C31" s="4" t="n">
        <v>400</v>
      </c>
      <c r="D31" s="4" t="n">
        <v>0</v>
      </c>
      <c r="E31" s="5" t="n">
        <v>0</v>
      </c>
      <c r="F31" t="inlineStr">
        <is>
          <t>OK</t>
        </is>
      </c>
    </row>
    <row r="32">
      <c r="A32" t="inlineStr">
        <is>
          <t>"Kashish" - Alluring Purple Chanderi Anarkali Suit Set</t>
        </is>
      </c>
      <c r="B32" s="4" t="n">
        <v>499</v>
      </c>
      <c r="C32" s="4" t="n">
        <v>499</v>
      </c>
      <c r="D32" s="4" t="n">
        <v>0</v>
      </c>
      <c r="E32" s="5" t="n">
        <v>0</v>
      </c>
      <c r="F32" t="inlineStr">
        <is>
          <t>OK</t>
        </is>
      </c>
    </row>
  </sheetData>
  <mergeCells count="2">
    <mergeCell ref="A16:F16"/>
    <mergeCell ref="A1:F1"/>
  </mergeCells>
  <conditionalFormatting sqref="B4:B13">
    <cfRule type="colorScale" priority="1">
      <colorScale>
        <cfvo type="min"/>
        <cfvo type="max"/>
        <color rgb="00FFFFFF"/>
        <color rgb="0063BE7B"/>
      </colorScale>
    </cfRule>
  </conditionalFormatting>
  <conditionalFormatting sqref="F18:F32">
    <cfRule type="expression" priority="2" dxfId="0">
      <formula>$F18="OUT OF STOCK"</formula>
    </cfRule>
    <cfRule type="expression" priority="3" dxfId="1">
      <formula>$F18="LOW STOCK"</formula>
    </cfRule>
  </conditionalFormatting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5" customWidth="1" min="1" max="1"/>
    <col width="18" customWidth="1" min="2" max="2"/>
    <col width="22" customWidth="1" min="3" max="3"/>
    <col width="17" customWidth="1" min="4" max="4"/>
    <col width="17" customWidth="1" min="5" max="5"/>
    <col width="14" customWidth="1" min="6" max="6"/>
    <col width="16" customWidth="1" min="7" max="7"/>
    <col width="16" customWidth="1" min="8" max="8"/>
    <col width="11" customWidth="1" min="9" max="9"/>
  </cols>
  <sheetData>
    <row r="1" ht="28" customHeight="1">
      <c r="A1" s="7" t="inlineStr">
        <is>
          <t>Campaign Performance — Yesterday vs Previous 7-Day Average</t>
        </is>
      </c>
    </row>
    <row r="3">
      <c r="A3" s="1" t="inlineStr">
        <is>
          <t>Campaign</t>
        </is>
      </c>
      <c r="B3" s="1" t="inlineStr">
        <is>
          <t>Yesterday Spend</t>
        </is>
      </c>
      <c r="C3" s="1" t="inlineStr">
        <is>
          <t>7-Day Avg Spend/Day</t>
        </is>
      </c>
      <c r="D3" s="1" t="inlineStr">
        <is>
          <t>Yesterday ROAS</t>
        </is>
      </c>
      <c r="E3" s="1" t="inlineStr">
        <is>
          <t>7-Day Avg ROAS</t>
        </is>
      </c>
      <c r="F3" s="1" t="inlineStr">
        <is>
          <t>ROAS Change</t>
        </is>
      </c>
      <c r="G3" s="1" t="inlineStr">
        <is>
          <t>Yesterday CPA</t>
        </is>
      </c>
      <c r="H3" s="1" t="inlineStr">
        <is>
          <t>7-Day Avg CPA</t>
        </is>
      </c>
      <c r="I3" s="1" t="inlineStr">
        <is>
          <t>Verdict</t>
        </is>
      </c>
    </row>
    <row r="4">
      <c r="A4" t="inlineStr">
        <is>
          <t>New Campaign- for recovery</t>
        </is>
      </c>
      <c r="B4" s="14" t="n">
        <v>14199.54</v>
      </c>
      <c r="C4" s="14" t="n">
        <v>14110.54</v>
      </c>
      <c r="D4" s="6" t="n">
        <v>3.9</v>
      </c>
      <c r="E4" s="6" t="n">
        <v>2.46</v>
      </c>
      <c r="F4" s="8">
        <f>(D4-E4)/E4</f>
        <v/>
      </c>
      <c r="G4" s="14" t="n">
        <v>617.37</v>
      </c>
      <c r="H4" s="14" t="n">
        <v>1018.29</v>
      </c>
      <c r="I4" t="inlineStr">
        <is>
          <t>MAINTAIN</t>
        </is>
      </c>
    </row>
    <row r="5">
      <c r="A5" t="inlineStr">
        <is>
          <t>Dhirai Scale -ASC</t>
        </is>
      </c>
      <c r="B5" s="14" t="n">
        <v>14184.09</v>
      </c>
      <c r="C5" s="14" t="n">
        <v>12904.68</v>
      </c>
      <c r="D5" s="6" t="n">
        <v>3.51</v>
      </c>
      <c r="E5" s="6" t="n">
        <v>3.56</v>
      </c>
      <c r="F5" s="8">
        <f>(D5-E5)/E5</f>
        <v/>
      </c>
      <c r="G5" s="14" t="n">
        <v>709.2</v>
      </c>
      <c r="H5" s="14" t="n">
        <v>669.13</v>
      </c>
      <c r="I5" t="inlineStr">
        <is>
          <t>MAINTAIN</t>
        </is>
      </c>
    </row>
    <row r="6">
      <c r="A6" t="inlineStr">
        <is>
          <t>Black DHURANDHAR</t>
        </is>
      </c>
      <c r="B6" s="14" t="n">
        <v>8010.41</v>
      </c>
      <c r="C6" s="14" t="n">
        <v>7919.54</v>
      </c>
      <c r="D6" s="6" t="n">
        <v>3.37</v>
      </c>
      <c r="E6" s="6" t="n">
        <v>3.41</v>
      </c>
      <c r="F6" s="8">
        <f>(D6-E6)/E6</f>
        <v/>
      </c>
      <c r="G6" s="14" t="n">
        <v>890.05</v>
      </c>
      <c r="H6" s="14" t="n">
        <v>749.15</v>
      </c>
      <c r="I6" t="inlineStr">
        <is>
          <t>REVIEW</t>
        </is>
      </c>
    </row>
    <row r="7">
      <c r="A7" t="inlineStr">
        <is>
          <t>Retargeting- new</t>
        </is>
      </c>
      <c r="B7" s="14" t="n">
        <v>7072.28</v>
      </c>
      <c r="C7" s="14" t="n">
        <v>8344.59</v>
      </c>
      <c r="D7" s="6" t="n">
        <v>5.52</v>
      </c>
      <c r="E7" s="6" t="n">
        <v>5.98</v>
      </c>
      <c r="F7" s="8">
        <f>(D7-E7)/E7</f>
        <v/>
      </c>
      <c r="G7" s="14" t="n">
        <v>416.02</v>
      </c>
      <c r="H7" s="14" t="n">
        <v>503.55</v>
      </c>
      <c r="I7" t="inlineStr">
        <is>
          <t>SCALE</t>
        </is>
      </c>
    </row>
    <row r="9" ht="22" customHeight="1">
      <c r="A9" s="9" t="inlineStr">
        <is>
          <t>Delivery Anomaly Signal (Meta)</t>
        </is>
      </c>
    </row>
    <row r="10">
      <c r="A10" s="10" t="inlineStr">
        <is>
          <t>Narrow audience warning: ad set "Black and multiple" (ID 120238324193200464) has an actively-delivering narrow audience (est. size 22,400-26,400). Meta recommends expanding the audience or testing Advantage+ audience.</t>
        </is>
      </c>
    </row>
    <row r="11"/>
  </sheetData>
  <mergeCells count="3">
    <mergeCell ref="A1:I1"/>
    <mergeCell ref="A9:I9"/>
    <mergeCell ref="A10:I11"/>
  </mergeCells>
  <conditionalFormatting sqref="D4:E7">
    <cfRule type="cellIs" priority="1" operator="lessThan" dxfId="0">
      <formula>3</formula>
    </cfRule>
    <cfRule type="expression" priority="2" dxfId="1">
      <formula>AND(D4&gt;=3,D4&lt;5)</formula>
    </cfRule>
    <cfRule type="cellIs" priority="3" operator="greaterThanOrEqual" dxfId="2">
      <formula>5</formula>
    </cfRule>
  </conditionalFormatting>
  <conditionalFormatting sqref="I4:I7">
    <cfRule type="expression" priority="4" dxfId="0">
      <formula>$I4="REVIEW"</formula>
    </cfRule>
    <cfRule type="expression" priority="5" dxfId="2">
      <formula>$I4="SCALE"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10" customWidth="1" min="2" max="2"/>
  </cols>
  <sheetData>
    <row r="1" ht="28" customHeight="1">
      <c r="A1" s="7" t="inlineStr">
        <is>
          <t>Recommendations &amp; Notes — 2026-07-16</t>
        </is>
      </c>
    </row>
    <row r="3" ht="22" customHeight="1">
      <c r="A3" s="9" t="inlineStr">
        <is>
          <t>KEY WINS</t>
        </is>
      </c>
    </row>
    <row r="4">
      <c r="A4" t="inlineStr">
        <is>
          <t>✅</t>
        </is>
      </c>
      <c r="B4" s="11" t="inlineStr">
        <is>
          <t>Retargeting- new remains the strongest campaign: 5.52x ROAS yesterday (7-day avg 5.98x) at the lowest CPA (₹416) — clear candidate to scale budget.</t>
        </is>
      </c>
    </row>
    <row r="5">
      <c r="A5" t="inlineStr">
        <is>
          <t>✅</t>
        </is>
      </c>
      <c r="B5" s="11" t="inlineStr">
        <is>
          <t>"New Campaign- for recovery" ROAS jumped from a 2.46x 7-day average to 3.90x yesterday — recent changes are working, worth investigating what changed.</t>
        </is>
      </c>
    </row>
    <row r="6">
      <c r="A6" t="inlineStr">
        <is>
          <t>✅</t>
        </is>
      </c>
      <c r="B6" s="11" t="inlineStr">
        <is>
          <t>Net sales up +7.5% vs the 7-day average (₹169,461 vs ₹157,639) while returns (₹2,199) and discounts (₹915) were both below the 7-day average — healthier margin day.</t>
        </is>
      </c>
    </row>
    <row r="7">
      <c r="A7" t="inlineStr">
        <is>
          <t>✅</t>
        </is>
      </c>
      <c r="B7" s="11" t="inlineStr">
        <is>
          <t>Orders (69) came in +9.5% above the 7-day average (63.0).</t>
        </is>
      </c>
    </row>
    <row r="9" ht="22" customHeight="1">
      <c r="A9" s="9" t="inlineStr">
        <is>
          <t>KEY ISSUES</t>
        </is>
      </c>
    </row>
    <row r="10">
      <c r="A10" t="inlineStr">
        <is>
          <t>🚨</t>
        </is>
      </c>
      <c r="B10" s="11" t="inlineStr">
        <is>
          <t>"Black DHURANDHAR" is the weakest campaign both yesterday (3.37x ROAS, highest CPA ₹890) and on the 7-day average (3.41x) — consistently underperforming its peers.</t>
        </is>
      </c>
    </row>
    <row r="11">
      <c r="A11" t="inlineStr">
        <is>
          <t>🚨</t>
        </is>
      </c>
      <c r="B11" s="11" t="inlineStr">
        <is>
          <t>Ad set "Black and multiple" is flagged by Meta for a narrow audience (~22.4k-26.4k people) while actively spending — risk of rising CPMs/frequency.</t>
        </is>
      </c>
    </row>
    <row r="12">
      <c r="A12" t="inlineStr">
        <is>
          <t>🚨</t>
        </is>
      </c>
      <c r="B12" s="11" t="inlineStr">
        <is>
          <t>AOV (₹2,488) is -3.6% below the 7-day average (₹2,581).</t>
        </is>
      </c>
    </row>
    <row r="13">
      <c r="A13" t="inlineStr">
        <is>
          <t>🚨</t>
        </is>
      </c>
      <c r="B13" s="11" t="inlineStr">
        <is>
          <t>2 products are fully OUT OF STOCK ("Zariya" Stone Hoops; "Utsav" Mal Cotton Anarkali Suit Set) — any ads or listings pointing to these are wasting clicks.</t>
        </is>
      </c>
    </row>
    <row r="15" ht="22" customHeight="1">
      <c r="A15" s="9" t="inlineStr">
        <is>
          <t>RECOMMENDED ACTIONS FOR TODAY</t>
        </is>
      </c>
    </row>
    <row r="16">
      <c r="A16" t="inlineStr">
        <is>
          <t>1.</t>
        </is>
      </c>
      <c r="B16" s="11" t="inlineStr">
        <is>
          <t>Scale "Retargeting- new" budget by 20-30% — best ROAS and lowest CPA of all campaigns, both yesterday and on the 7-day trend.</t>
        </is>
      </c>
    </row>
    <row r="17">
      <c r="A17" t="inlineStr">
        <is>
          <t>2.</t>
        </is>
      </c>
      <c r="B17" s="11" t="inlineStr">
        <is>
          <t>Review "Black DHURANDHAR": test new creative or tighten targeting before adding more budget — it is the only campaign below a 3.5x ROAS on both windows.</t>
        </is>
      </c>
    </row>
    <row r="18">
      <c r="A18" t="inlineStr">
        <is>
          <t>3.</t>
        </is>
      </c>
      <c r="B18" s="11" t="inlineStr">
        <is>
          <t>Expand or A/B test the audience on ad set "Black and multiple" per Meta's narrow-audience warning to avoid frequency burnout.</t>
        </is>
      </c>
    </row>
    <row r="19">
      <c r="A19" t="inlineStr">
        <is>
          <t>4.</t>
        </is>
      </c>
      <c r="B19" s="11" t="inlineStr">
        <is>
          <t>Restock or unpublish/hide "Zariya" Stone Hoops and the "Utsav" Anarkali Suit Set (0 units) so ad spend and storefront traffic aren't sent to sold-out listings.</t>
        </is>
      </c>
    </row>
    <row r="20">
      <c r="A20" t="inlineStr">
        <is>
          <t>5.</t>
        </is>
      </c>
      <c r="B20" s="11" t="inlineStr">
        <is>
          <t>Keep an eye on "Ira Rayon Co-ord Set" and "The Essential" White Cotton Shirt &amp; Pant Set — together they drove ₹79,265 (62%) of yesterday's product-level gross sales; ensure stock covers continued demand.</t>
        </is>
      </c>
    </row>
    <row r="22" ht="22" customHeight="1">
      <c r="A22" s="9" t="inlineStr">
        <is>
          <t>UNAVAILABLE METRICS / DATA NOTES</t>
        </is>
      </c>
    </row>
    <row r="23" ht="30" customHeight="1">
      <c r="A23" t="inlineStr">
        <is>
          <t>ℹ️</t>
        </is>
      </c>
      <c r="B23" s="11" t="inlineStr">
        <is>
          <t>Failed payments: not exposed by the connected Shopify tools/ShopifyQL in this session — check Shopify Admin &gt; Settings &gt; Payments for declined transaction reports.</t>
        </is>
      </c>
    </row>
    <row r="24" ht="30" customHeight="1">
      <c r="A24" t="inlineStr">
        <is>
          <t>ℹ️</t>
        </is>
      </c>
      <c r="B24" s="11" t="inlineStr">
        <is>
          <t>Abandoned checkouts: not exposed by the connected Shopify tools/ShopifyQL in this session — check Shopify Admin &gt; Analytics or Abandoned Checkouts report.</t>
        </is>
      </c>
    </row>
    <row r="25" ht="30" customHeight="1">
      <c r="A25" t="inlineStr">
        <is>
          <t>ℹ️</t>
        </is>
      </c>
      <c r="B25" s="11" t="inlineStr">
        <is>
          <t>Order cancellations (distinct from refunds/returns): not separately broken out by the connected tools — Returns (₹2,199 on 2026-07-16) is used as the closest proxy for money given back to customers.</t>
        </is>
      </c>
    </row>
    <row r="26" ht="30" customHeight="1">
      <c r="A26" t="inlineStr">
        <is>
          <t>ℹ️</t>
        </is>
      </c>
      <c r="B26" s="11" t="inlineStr">
        <is>
          <t>Units sold per product (distinct from orders): not returned by the ShopifyQL sales query used — Orders count is shown instead as a volume proxy.</t>
        </is>
      </c>
    </row>
    <row r="27" ht="30" customHeight="1">
      <c r="A27" t="inlineStr">
        <is>
          <t>ℹ️</t>
        </is>
      </c>
      <c r="B27" s="11" t="inlineStr">
        <is>
          <t>Meta Ads 'Purchases' count: the connected Meta Ads tool did not expose a raw conversions/results field for this account — shown value is estimated as Spend ÷ Cost-per-purchase (cost_per_omni_purchase), both of which ARE reported by the tool.</t>
        </is>
      </c>
    </row>
    <row r="28" ht="30" customHeight="1">
      <c r="A28" t="inlineStr">
        <is>
          <t>ℹ️</t>
        </is>
      </c>
      <c r="B28" s="11" t="inlineStr">
        <is>
          <t>Google Sheets connector is not installed for this account, so this dashboard was delivered as an Excel (.xlsx) workbook instead of a live Google Sheet, and committed to the claude-routines repo so tomorrow's run can append to it without duplicating rows.</t>
        </is>
      </c>
    </row>
    <row r="29" ht="30" customHeight="1">
      <c r="A29" t="inlineStr">
        <is>
          <t>ℹ️</t>
        </is>
      </c>
      <c r="B29" s="11" t="inlineStr">
        <is>
          <t>Gmail connector only exposes draft creation (no direct-send tool) in this session, so the daily notification was created as a Gmail draft rather than sent automatically.</t>
        </is>
      </c>
    </row>
  </sheetData>
  <mergeCells count="5">
    <mergeCell ref="A15:B15"/>
    <mergeCell ref="A1:B1"/>
    <mergeCell ref="A9:B9"/>
    <mergeCell ref="A3:B3"/>
    <mergeCell ref="A22:B2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2026-07-17T17:49:56Z</dcterms:created>
  <dcterms:modified xsi:type="dcterms:W3CDTF">2026-07-17T17:50:41Z</dcterms:modified>
</cp:coreProperties>
</file>