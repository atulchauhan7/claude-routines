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hopify Daily Data" sheetId="2" state="visible" r:id="rId2"/>
    <sheet name="Meta Ads Daily Data" sheetId="3" state="visible" r:id="rId3"/>
    <sheet name="Product Performance" sheetId="4" state="visible" r:id="rId4"/>
    <sheet name="Campaign Performance" sheetId="5" state="visible" r:id="rId5"/>
    <sheet name="Recommendations &amp; Notes" sheetId="6" state="visible" r:id="rId6"/>
  </sheets>
  <definedNames>
    <definedName name="_xlnm._FilterDatabase" localSheetId="1" hidden="1">'Shopify Daily Data'!$A$1:$J$9</definedName>
    <definedName name="_xlnm._FilterDatabase" localSheetId="2" hidden="1">'Meta Ads Daily Data'!$A$1:$K$9</definedName>
    <definedName name="_xlnm._FilterDatabase" localSheetId="3" hidden="1">'Product Performance'!$A$3:$D$18</definedName>
    <definedName name="_xlnm._FilterDatabase" localSheetId="4" hidden="1">'Campaign Performance'!$A$3:$K$6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₹&quot;#,##0.00"/>
    <numFmt numFmtId="165" formatCode="0.00&quot;%&quot;"/>
    <numFmt numFmtId="166" formatCode="0.00&quot;x&quot;"/>
    <numFmt numFmtId="167" formatCode="&quot;₹&quot;#,##0"/>
    <numFmt numFmtId="168" formatCode="+0.0&quot;%&quot;;-0.0&quot;%&quot;;0.0&quot;%&quot;"/>
    <numFmt numFmtId="169" formatCode="0.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i val="1"/>
      <color rgb="00666666"/>
      <sz val="9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222222"/>
      </patternFill>
    </fill>
    <fill>
      <patternFill patternType="solid">
        <fgColor rgb="002E5BF7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4" fillId="7" borderId="1" applyAlignment="1" pivotButton="0" quotePrefix="0" xfId="0">
      <alignment horizontal="center" vertical="center" wrapText="1"/>
    </xf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0" fontId="3" fillId="0" borderId="0" pivotButton="0" quotePrefix="0" xfId="0"/>
    <xf numFmtId="0" fontId="0" fillId="4" borderId="0" applyAlignment="1" pivotButton="0" quotePrefix="0" xfId="0">
      <alignment horizontal="center"/>
    </xf>
    <xf numFmtId="0" fontId="0" fillId="4" borderId="0" applyAlignment="1" pivotButton="0" quotePrefix="0" xfId="0">
      <alignment wrapText="1"/>
    </xf>
    <xf numFmtId="0" fontId="0" fillId="5" borderId="0" applyAlignment="1" pivotButton="0" quotePrefix="0" xfId="0">
      <alignment horizontal="center"/>
    </xf>
    <xf numFmtId="0" fontId="0" fillId="5" borderId="0" applyAlignment="1" pivotButton="0" quotePrefix="0" xfId="0">
      <alignment wrapText="1"/>
    </xf>
    <xf numFmtId="0" fontId="0" fillId="6" borderId="0" applyAlignment="1" pivotButton="0" quotePrefix="0" xfId="0">
      <alignment horizontal="center"/>
    </xf>
    <xf numFmtId="0" fontId="0" fillId="6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dxfs count="3">
    <dxf>
      <font>
        <color rgb="009C0006"/>
      </font>
      <fill>
        <patternFill patternType="solid">
          <fgColor rgb="00FFC7CE"/>
        </patternFill>
      </fill>
    </dxf>
    <dxf>
      <font>
        <color rgb="00006100"/>
      </font>
      <fill>
        <patternFill patternType="solid">
          <fgColor rgb="00C6EFCE"/>
        </patternFill>
      </fill>
    </dxf>
    <dxf>
      <font>
        <color rgb="009C650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Gross Sales Trend (8 days)</a:t>
            </a:r>
          </a:p>
        </rich>
      </tx>
    </title>
    <plotArea>
      <lineChart>
        <grouping val="standard"/>
        <ser>
          <idx val="0"/>
          <order val="0"/>
          <tx>
            <strRef>
              <f>'Shopify Daily 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'Shopify Daily Data'!$A$2:$A$9</f>
            </numRef>
          </cat>
          <val>
            <numRef>
              <f>'Shopify Daily Data'!$B$2:$B$9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Orders Trend (8 days)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'Shopify Daily Data'!D1</f>
            </strRef>
          </tx>
          <spPr>
            <a:ln>
              <a:prstDash val="solid"/>
            </a:ln>
          </spPr>
          <cat>
            <numRef>
              <f>'Shopify Daily Data'!$A$2:$A$9</f>
            </numRef>
          </cat>
          <val>
            <numRef>
              <f>'Shopify Daily Data'!$D$2:$D$9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Ad Spend Trend (8 days)</a:t>
            </a:r>
          </a:p>
        </rich>
      </tx>
    </title>
    <plotArea>
      <lineChart>
        <grouping val="standard"/>
        <ser>
          <idx val="0"/>
          <order val="0"/>
          <tx>
            <strRef>
              <f>'Meta Ads Daily 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'Meta Ads Daily Data'!$A$2:$A$9</f>
            </numRef>
          </cat>
          <val>
            <numRef>
              <f>'Meta Ads Daily Data'!$B$2:$B$9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ROAS Trend (8 days)</a:t>
            </a:r>
          </a:p>
        </rich>
      </tx>
    </title>
    <plotArea>
      <lineChart>
        <grouping val="standard"/>
        <ser>
          <idx val="0"/>
          <order val="0"/>
          <tx>
            <strRef>
              <f>'Meta Ads Daily Data'!K1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'Meta Ads Daily Data'!$A$2:$A$9</f>
            </numRef>
          </cat>
          <val>
            <numRef>
              <f>'Meta Ads Daily Data'!$K$2:$K$9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Gross Sales (Yesterday)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 Performance'!B3</f>
            </strRef>
          </tx>
          <spPr>
            <a:ln>
              <a:prstDash val="solid"/>
            </a:ln>
          </spPr>
          <cat>
            <numRef>
              <f>'Product Performance'!$A$4:$A$8</f>
            </numRef>
          </cat>
          <val>
            <numRef>
              <f>'Product Performance'!$B$4:$B$8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Campaign Spend vs ROAS (Yesterday)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'Campaign Performance'!C3</f>
            </strRef>
          </tx>
          <spPr>
            <a:ln>
              <a:prstDash val="solid"/>
            </a:ln>
          </spPr>
          <cat>
            <numRef>
              <f>'Campaign Performance'!$A$4:$A$6</f>
            </numRef>
          </cat>
          <val>
            <numRef>
              <f>'Campaign Performance'!$C$4:$C$6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17</row>
      <rowOff>0</rowOff>
    </from>
    <ext cx="504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12</col>
      <colOff>0</colOff>
      <row>2</row>
      <rowOff>0</rowOff>
    </from>
    <ext cx="504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12</col>
      <colOff>0</colOff>
      <row>17</row>
      <rowOff>0</rowOff>
    </from>
    <ext cx="504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5</col>
      <colOff>0</colOff>
      <row>32</row>
      <rowOff>0</rowOff>
    </from>
    <ext cx="576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12</col>
      <colOff>0</colOff>
      <row>32</row>
      <rowOff>0</rowOff>
    </from>
    <ext cx="576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1" t="inlineStr">
        <is>
          <t>DAILY STORE &amp; ADS PERFORMANCE — 2026-06-15</t>
        </is>
      </c>
    </row>
    <row r="2" ht="6" customHeight="1"/>
    <row r="3">
      <c r="A3" s="2" t="inlineStr">
        <is>
          <t>EXECUTIVE SUMMARY</t>
        </is>
      </c>
    </row>
    <row r="4" ht="60" customHeight="1">
      <c r="A4" s="3" t="inlineStr">
        <is>
          <t>Yesterday (2026-06-15) Shopify gross sales were ₹113,303 (+0.8% vs 7-day avg) from 42 orders (-7.8% vs avg). Meta Ads spend was ₹38,260 (+6.3% vs avg) delivering a blended ROAS of 2.79x (-8.1% vs avg). Orders are down on volume but up on basket size — overall revenue roughly flat.</t>
        </is>
      </c>
    </row>
    <row r="6">
      <c r="A6" s="2" t="inlineStr">
        <is>
          <t>SHOPIFY PERFORMANCE</t>
        </is>
      </c>
    </row>
    <row r="7">
      <c r="A7" s="4" t="inlineStr">
        <is>
          <t>Metric</t>
        </is>
      </c>
      <c r="B7" s="4" t="inlineStr">
        <is>
          <t>Yesterday</t>
        </is>
      </c>
      <c r="C7" s="4" t="inlineStr">
        <is>
          <t>7-Day Avg</t>
        </is>
      </c>
      <c r="D7" s="4" t="inlineStr">
        <is>
          <t>Change vs Avg</t>
        </is>
      </c>
    </row>
    <row r="8">
      <c r="A8" t="inlineStr">
        <is>
          <t>Gross Sales</t>
        </is>
      </c>
      <c r="B8" s="5" t="n">
        <v>113303</v>
      </c>
      <c r="C8" s="5" t="n">
        <v>112439.62</v>
      </c>
      <c r="D8" s="6" t="n">
        <v>0.8</v>
      </c>
    </row>
    <row r="9">
      <c r="A9" t="inlineStr">
        <is>
          <t>Net Sales</t>
        </is>
      </c>
      <c r="B9" s="5" t="n">
        <v>112978.15</v>
      </c>
      <c r="C9" s="5" t="n">
        <v>111293.01</v>
      </c>
      <c r="D9" s="6" t="n">
        <v>1.5</v>
      </c>
    </row>
    <row r="10">
      <c r="A10" t="inlineStr">
        <is>
          <t>Orders</t>
        </is>
      </c>
      <c r="B10" s="7" t="n">
        <v>42</v>
      </c>
      <c r="C10" s="7" t="n">
        <v>45.57</v>
      </c>
      <c r="D10" s="6" t="n">
        <v>-7.8</v>
      </c>
    </row>
    <row r="11">
      <c r="A11" t="inlineStr">
        <is>
          <t>Avg Order Value</t>
        </is>
      </c>
      <c r="B11" s="8" t="n">
        <v>2689.96</v>
      </c>
      <c r="C11" s="8" t="n">
        <v>2442.22</v>
      </c>
      <c r="D11" s="6" t="n">
        <v>10.1</v>
      </c>
    </row>
    <row r="13">
      <c r="A13" s="2" t="inlineStr">
        <is>
          <t>META ADS PERFORMANCE</t>
        </is>
      </c>
    </row>
    <row r="14">
      <c r="A14" s="4" t="inlineStr">
        <is>
          <t>Metric</t>
        </is>
      </c>
      <c r="B14" s="4" t="inlineStr">
        <is>
          <t>Yesterday</t>
        </is>
      </c>
      <c r="C14" s="4" t="inlineStr">
        <is>
          <t>7-Day Avg</t>
        </is>
      </c>
      <c r="D14" s="4" t="inlineStr">
        <is>
          <t>Change vs Avg</t>
        </is>
      </c>
    </row>
    <row r="15">
      <c r="A15" t="inlineStr">
        <is>
          <t>Total Spend</t>
        </is>
      </c>
      <c r="B15" s="5" t="n">
        <v>38259.78</v>
      </c>
      <c r="C15" s="5" t="n">
        <v>35995.69</v>
      </c>
      <c r="D15" s="6" t="n">
        <v>6.3</v>
      </c>
    </row>
    <row r="16">
      <c r="A16" t="inlineStr">
        <is>
          <t>Impressions</t>
        </is>
      </c>
      <c r="B16" s="9" t="n">
        <v>178155</v>
      </c>
      <c r="C16" s="9" t="n">
        <v>170844</v>
      </c>
      <c r="D16" s="6" t="n">
        <v>4.3</v>
      </c>
    </row>
    <row r="17">
      <c r="A17" t="inlineStr">
        <is>
          <t>Clicks</t>
        </is>
      </c>
      <c r="B17" s="9" t="n">
        <v>5232</v>
      </c>
      <c r="C17" s="9" t="n">
        <v>5292.43</v>
      </c>
      <c r="D17" s="6" t="n">
        <v>-1.1</v>
      </c>
    </row>
    <row r="18">
      <c r="A18" t="inlineStr">
        <is>
          <t>CTR</t>
        </is>
      </c>
      <c r="B18" s="10" t="n">
        <v>2.94</v>
      </c>
      <c r="C18" s="10" t="n">
        <v>3.1</v>
      </c>
      <c r="D18" s="6" t="n">
        <v>-5.1</v>
      </c>
    </row>
    <row r="19">
      <c r="A19" t="inlineStr">
        <is>
          <t>CPC</t>
        </is>
      </c>
      <c r="B19" s="8" t="n">
        <v>7.31</v>
      </c>
      <c r="C19" s="8" t="n">
        <v>6.85</v>
      </c>
      <c r="D19" s="6" t="n">
        <v>6.6</v>
      </c>
    </row>
    <row r="20">
      <c r="A20" t="inlineStr">
        <is>
          <t>Purchases</t>
        </is>
      </c>
      <c r="B20" s="11" t="n">
        <v>40</v>
      </c>
    </row>
    <row r="21">
      <c r="A21" t="inlineStr">
        <is>
          <t>CPA</t>
        </is>
      </c>
      <c r="B21" s="8" t="n">
        <v>956.49</v>
      </c>
    </row>
    <row r="22">
      <c r="A22" t="inlineStr">
        <is>
          <t>Blended ROAS</t>
        </is>
      </c>
      <c r="B22" s="12" t="n">
        <v>2.79</v>
      </c>
      <c r="C22" s="12" t="n">
        <v>3.04</v>
      </c>
      <c r="D22" s="6" t="n">
        <v>-8.1</v>
      </c>
    </row>
    <row r="24">
      <c r="A24" s="2" t="inlineStr">
        <is>
          <t>KEY WINS</t>
        </is>
      </c>
    </row>
    <row r="25" ht="28" customHeight="1">
      <c r="A25" s="13" t="inlineStr">
        <is>
          <t>✓ SCALE 'Black DHURANDHAR' — best performer yesterday: ROAS 4.45x, CPA ₹547.28 on ₹8,209.27 spend. Increase budget 20–30% while monitoring CPA.</t>
        </is>
      </c>
    </row>
    <row r="27">
      <c r="A27" s="2" t="inlineStr">
        <is>
          <t>KEY ISSUES</t>
        </is>
      </c>
    </row>
    <row r="28" ht="28" customHeight="1">
      <c r="A28" s="13" t="inlineStr">
        <is>
          <t>⚠ Orders down 7.8% vs 7-day avg (42 vs 45.6 avg), but AOV up 10.1% — revenue held flat on bigger baskets. Watch traffic/conversion rate if the order trend continues.</t>
        </is>
      </c>
    </row>
    <row r="29" ht="28" customHeight="1">
      <c r="A29" s="13" t="inlineStr">
        <is>
          <t>⚠ PAUSE-REVIEW 'Dhirai Scale -ASC' — it carries 61% of yesterday's ad spend (₹23,154.65) but has the weakest ROAS (2.11x) and highest CPA (₹1,362.04) of the 3 active campaigns. Trim budget or test new creative/audience before scaling further.</t>
        </is>
      </c>
    </row>
    <row r="30" ht="28" customHeight="1">
      <c r="A30" s="13" t="inlineStr">
        <is>
          <t>⚠ Expand targeting on ad sets 'Best performing ads' and 'Black and multiple' — both flagged with narrow audience (~1,000 people), which risks rising frequency/CPMs. Test Advantage+ audience.</t>
        </is>
      </c>
    </row>
    <row r="32">
      <c r="A32" s="2" t="inlineStr">
        <is>
          <t>RECOMMENDED ACTIONS TODAY</t>
        </is>
      </c>
    </row>
    <row r="33" ht="28" customHeight="1">
      <c r="A33" s="13" t="inlineStr">
        <is>
          <t>1. Orders down 7.8% vs 7-day avg (42 vs 45.6 avg), but AOV up 10.1% — revenue held flat on bigger baskets. Watch traffic/conversion rate if the order trend continues.</t>
        </is>
      </c>
    </row>
    <row r="34" ht="28" customHeight="1">
      <c r="A34" s="13" t="inlineStr">
        <is>
          <t>2. PAUSE-REVIEW 'Dhirai Scale -ASC' — it carries 61% of yesterday's ad spend (₹23,154.65) but has the weakest ROAS (2.11x) and highest CPA (₹1,362.04) of the 3 active campaigns. Trim budget or test new creative/audience before scaling further.</t>
        </is>
      </c>
    </row>
    <row r="35" ht="28" customHeight="1">
      <c r="A35" s="13" t="inlineStr">
        <is>
          <t>3. SCALE 'Black DHURANDHAR' — best performer yesterday: ROAS 4.45x, CPA ₹547.28 on ₹8,209.27 spend. Increase budget 20–30% while monitoring CPA.</t>
        </is>
      </c>
    </row>
    <row r="36" ht="28" customHeight="1">
      <c r="A36" s="13" t="inlineStr">
        <is>
          <t>4. Expand targeting on ad sets 'Best performing ads' and 'Black and multiple' — both flagged with narrow audience (~1,000 people), which risks rising frequency/CPMs. Test Advantage+ audience.</t>
        </is>
      </c>
    </row>
    <row r="37" ht="28" customHeight="1">
      <c r="A37" s="13" t="inlineStr">
        <is>
          <t>5. Abandoned checkouts were very low (2 in the 8-day window, ₹1,999 and ₹1,099) — confirm recovery emails are active; low volume is good but also worth a quick tracking sanity-check.</t>
        </is>
      </c>
    </row>
  </sheetData>
  <mergeCells count="17">
    <mergeCell ref="A1:D1"/>
    <mergeCell ref="A37:D37"/>
    <mergeCell ref="A27:D27"/>
    <mergeCell ref="A6:D6"/>
    <mergeCell ref="A34:D34"/>
    <mergeCell ref="A35:D35"/>
    <mergeCell ref="A4:D4"/>
    <mergeCell ref="A3:D3"/>
    <mergeCell ref="A30:D30"/>
    <mergeCell ref="A29:D29"/>
    <mergeCell ref="A25:D25"/>
    <mergeCell ref="A24:D24"/>
    <mergeCell ref="A33:D33"/>
    <mergeCell ref="A28:D28"/>
    <mergeCell ref="A36:D36"/>
    <mergeCell ref="A32:D32"/>
    <mergeCell ref="A13:D13"/>
  </mergeCells>
  <conditionalFormatting sqref="D8:D11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D15:D22">
    <cfRule type="cellIs" priority="3" operator="lessThan" dxfId="0">
      <formula>0</formula>
    </cfRule>
    <cfRule type="cellIs" priority="4" operator="greater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9" customWidth="1" min="4" max="4"/>
    <col width="11" customWidth="1" min="5" max="5"/>
    <col width="14" customWidth="1" min="6" max="6"/>
    <col width="12" customWidth="1" min="7" max="7"/>
    <col width="11" customWidth="1" min="8" max="8"/>
    <col width="11" customWidth="1" min="9" max="9"/>
    <col width="11" customWidth="1" min="10" max="10"/>
  </cols>
  <sheetData>
    <row r="1">
      <c r="A1" s="14" t="inlineStr">
        <is>
          <t>Date</t>
        </is>
      </c>
      <c r="B1" s="14" t="inlineStr">
        <is>
          <t>Gross Sales</t>
        </is>
      </c>
      <c r="C1" s="14" t="inlineStr">
        <is>
          <t>Net Sales</t>
        </is>
      </c>
      <c r="D1" s="14" t="inlineStr">
        <is>
          <t>Orders</t>
        </is>
      </c>
      <c r="E1" s="14" t="inlineStr">
        <is>
          <t>AOV</t>
        </is>
      </c>
      <c r="F1" s="14" t="inlineStr">
        <is>
          <t>Total Sales</t>
        </is>
      </c>
      <c r="G1" s="14" t="inlineStr">
        <is>
          <t>Discounts</t>
        </is>
      </c>
      <c r="H1" s="14" t="inlineStr">
        <is>
          <t>Returns</t>
        </is>
      </c>
      <c r="I1" s="14" t="inlineStr">
        <is>
          <t>Shipping</t>
        </is>
      </c>
      <c r="J1" s="14" t="inlineStr">
        <is>
          <t>Taxes</t>
        </is>
      </c>
    </row>
    <row r="2">
      <c r="A2" s="15" t="inlineStr">
        <is>
          <t>2026-06-08</t>
        </is>
      </c>
      <c r="B2" s="16" t="n">
        <v>143012.03</v>
      </c>
      <c r="C2" s="16" t="n">
        <v>142262.38</v>
      </c>
      <c r="D2" s="15" t="n">
        <v>59</v>
      </c>
      <c r="E2" s="16" t="n">
        <v>2411.23</v>
      </c>
      <c r="F2" s="16" t="n">
        <v>142689.35</v>
      </c>
      <c r="G2" s="16" t="n">
        <v>-749.65</v>
      </c>
      <c r="H2" s="16" t="n">
        <v>0</v>
      </c>
      <c r="I2" s="16" t="n">
        <v>0</v>
      </c>
      <c r="J2" s="16" t="n">
        <v>426.97</v>
      </c>
    </row>
    <row r="3">
      <c r="A3" s="15" t="inlineStr">
        <is>
          <t>2026-06-09</t>
        </is>
      </c>
      <c r="B3" s="16" t="n">
        <v>124447</v>
      </c>
      <c r="C3" s="16" t="n">
        <v>123982.2</v>
      </c>
      <c r="D3" s="15" t="n">
        <v>50</v>
      </c>
      <c r="E3" s="16" t="n">
        <v>2479.64</v>
      </c>
      <c r="F3" s="16" t="n">
        <v>123982.2</v>
      </c>
      <c r="G3" s="16" t="n">
        <v>-464.8</v>
      </c>
      <c r="H3" s="16" t="n">
        <v>0</v>
      </c>
      <c r="I3" s="16" t="n">
        <v>0</v>
      </c>
      <c r="J3" s="16" t="n">
        <v>0</v>
      </c>
    </row>
    <row r="4">
      <c r="A4" s="15" t="inlineStr">
        <is>
          <t>2026-06-10</t>
        </is>
      </c>
      <c r="B4" s="16" t="n">
        <v>119850</v>
      </c>
      <c r="C4" s="16" t="n">
        <v>119380.2</v>
      </c>
      <c r="D4" s="15" t="n">
        <v>47</v>
      </c>
      <c r="E4" s="16" t="n">
        <v>2540</v>
      </c>
      <c r="F4" s="16" t="n">
        <v>119380.2</v>
      </c>
      <c r="G4" s="16" t="n">
        <v>-469.8</v>
      </c>
      <c r="H4" s="16" t="n">
        <v>0</v>
      </c>
      <c r="I4" s="16" t="n">
        <v>0</v>
      </c>
      <c r="J4" s="16" t="n">
        <v>0</v>
      </c>
    </row>
    <row r="5">
      <c r="A5" s="15" t="inlineStr">
        <is>
          <t>2026-06-11</t>
        </is>
      </c>
      <c r="B5" s="16" t="n">
        <v>82865</v>
      </c>
      <c r="C5" s="16" t="n">
        <v>82765.05</v>
      </c>
      <c r="D5" s="15" t="n">
        <v>34</v>
      </c>
      <c r="E5" s="16" t="n">
        <v>2434.27</v>
      </c>
      <c r="F5" s="16" t="n">
        <v>82765.05</v>
      </c>
      <c r="G5" s="16" t="n">
        <v>-99.95</v>
      </c>
      <c r="H5" s="16" t="n">
        <v>0</v>
      </c>
      <c r="I5" s="16" t="n">
        <v>0</v>
      </c>
      <c r="J5" s="16" t="n">
        <v>0</v>
      </c>
    </row>
    <row r="6">
      <c r="A6" s="15" t="inlineStr">
        <is>
          <t>2026-06-12</t>
        </is>
      </c>
      <c r="B6" s="16" t="n">
        <v>100531.03</v>
      </c>
      <c r="C6" s="16" t="n">
        <v>99280.56</v>
      </c>
      <c r="D6" s="15" t="n">
        <v>40</v>
      </c>
      <c r="E6" s="16" t="n">
        <v>2482.01</v>
      </c>
      <c r="F6" s="16" t="n">
        <v>99707.53</v>
      </c>
      <c r="G6" s="16" t="n">
        <v>-1250.47</v>
      </c>
      <c r="H6" s="16" t="n">
        <v>0</v>
      </c>
      <c r="I6" s="16" t="n">
        <v>0</v>
      </c>
      <c r="J6" s="16" t="n">
        <v>426.97</v>
      </c>
    </row>
    <row r="7">
      <c r="A7" s="15" t="inlineStr">
        <is>
          <t>2026-06-13</t>
        </is>
      </c>
      <c r="B7" s="16" t="n">
        <v>112519.25</v>
      </c>
      <c r="C7" s="16" t="n">
        <v>110370.43</v>
      </c>
      <c r="D7" s="15" t="n">
        <v>45</v>
      </c>
      <c r="E7" s="16" t="n">
        <v>2452.68</v>
      </c>
      <c r="F7" s="16" t="n">
        <v>110904.18</v>
      </c>
      <c r="G7" s="16" t="n">
        <v>-2148.82</v>
      </c>
      <c r="H7" s="16" t="n">
        <v>0</v>
      </c>
      <c r="I7" s="16" t="n">
        <v>0</v>
      </c>
      <c r="J7" s="16" t="n">
        <v>533.75</v>
      </c>
    </row>
    <row r="8">
      <c r="A8" s="15" t="inlineStr">
        <is>
          <t>2026-06-14</t>
        </is>
      </c>
      <c r="B8" s="16" t="n">
        <v>103853</v>
      </c>
      <c r="C8" s="16" t="n">
        <v>101010.26</v>
      </c>
      <c r="D8" s="15" t="n">
        <v>44</v>
      </c>
      <c r="E8" s="16" t="n">
        <v>2295.69</v>
      </c>
      <c r="F8" s="16" t="n">
        <v>101010.26</v>
      </c>
      <c r="G8" s="16" t="n">
        <v>-2842.74</v>
      </c>
      <c r="H8" s="16" t="n">
        <v>0</v>
      </c>
      <c r="I8" s="16" t="n">
        <v>0</v>
      </c>
      <c r="J8" s="16" t="n">
        <v>0</v>
      </c>
    </row>
    <row r="9">
      <c r="A9" s="15" t="inlineStr">
        <is>
          <t>2026-06-15</t>
        </is>
      </c>
      <c r="B9" s="16" t="n">
        <v>113303</v>
      </c>
      <c r="C9" s="16" t="n">
        <v>112978.15</v>
      </c>
      <c r="D9" s="15" t="n">
        <v>42</v>
      </c>
      <c r="E9" s="16" t="n">
        <v>2689.96</v>
      </c>
      <c r="F9" s="16" t="n">
        <v>112978.15</v>
      </c>
      <c r="G9" s="16" t="n">
        <v>-324.85</v>
      </c>
      <c r="H9" s="16" t="n">
        <v>0</v>
      </c>
      <c r="I9" s="16" t="n">
        <v>0</v>
      </c>
      <c r="J9" s="16" t="n">
        <v>0</v>
      </c>
    </row>
  </sheetData>
  <autoFilter ref="A1:J9"/>
  <conditionalFormatting sqref="H2:H9">
    <cfRule type="cellIs" priority="1" operator="greaterThan" dxfId="2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  <col width="10" customWidth="1" min="5" max="5"/>
    <col width="9" customWidth="1" min="6" max="6"/>
    <col width="9" customWidth="1" min="7" max="7"/>
    <col width="10" customWidth="1" min="8" max="8"/>
    <col width="10" customWidth="1" min="9" max="9"/>
    <col width="10" customWidth="1" min="10" max="10"/>
    <col width="8" customWidth="1" min="11" max="11"/>
  </cols>
  <sheetData>
    <row r="1">
      <c r="A1" s="14" t="inlineStr">
        <is>
          <t>Date</t>
        </is>
      </c>
      <c r="B1" s="14" t="inlineStr">
        <is>
          <t>Total Spend</t>
        </is>
      </c>
      <c r="C1" s="14" t="inlineStr">
        <is>
          <t>Impressions</t>
        </is>
      </c>
      <c r="D1" s="14" t="inlineStr">
        <is>
          <t>Reach</t>
        </is>
      </c>
      <c r="E1" s="14" t="inlineStr">
        <is>
          <t>Clicks</t>
        </is>
      </c>
      <c r="F1" s="14" t="inlineStr">
        <is>
          <t>CTR (%)</t>
        </is>
      </c>
      <c r="G1" s="14" t="inlineStr">
        <is>
          <t>CPC</t>
        </is>
      </c>
      <c r="H1" s="14" t="inlineStr">
        <is>
          <t>CPM</t>
        </is>
      </c>
      <c r="I1" s="14" t="inlineStr">
        <is>
          <t>Purchases</t>
        </is>
      </c>
      <c r="J1" s="14" t="inlineStr">
        <is>
          <t>CPA</t>
        </is>
      </c>
      <c r="K1" s="14" t="inlineStr">
        <is>
          <t>ROAS</t>
        </is>
      </c>
    </row>
    <row r="2">
      <c r="A2" s="15" t="inlineStr">
        <is>
          <t>2026-06-08</t>
        </is>
      </c>
      <c r="B2" s="16" t="n">
        <v>35772.08</v>
      </c>
      <c r="C2" s="15" t="n">
        <v>185825</v>
      </c>
      <c r="D2" s="15" t="n">
        <v>139115</v>
      </c>
      <c r="E2" s="15" t="n">
        <v>6176</v>
      </c>
      <c r="F2" s="17" t="n">
        <v>3.32</v>
      </c>
      <c r="G2" s="16" t="n">
        <v>5.79</v>
      </c>
      <c r="H2" s="16" t="n">
        <v>192.5</v>
      </c>
      <c r="I2" s="15" t="inlineStr"/>
      <c r="J2" s="16" t="inlineStr"/>
      <c r="K2" s="18" t="n">
        <v>3.69</v>
      </c>
    </row>
    <row r="3">
      <c r="A3" s="15" t="inlineStr">
        <is>
          <t>2026-06-09</t>
        </is>
      </c>
      <c r="B3" s="16" t="n">
        <v>38563.26</v>
      </c>
      <c r="C3" s="15" t="n">
        <v>171633</v>
      </c>
      <c r="D3" s="15" t="n">
        <v>132265</v>
      </c>
      <c r="E3" s="15" t="n">
        <v>5777</v>
      </c>
      <c r="F3" s="17" t="n">
        <v>3.37</v>
      </c>
      <c r="G3" s="16" t="n">
        <v>6.68</v>
      </c>
      <c r="H3" s="16" t="n">
        <v>224.68</v>
      </c>
      <c r="I3" s="15" t="inlineStr"/>
      <c r="J3" s="16" t="inlineStr"/>
      <c r="K3" s="18" t="n">
        <v>3.15</v>
      </c>
    </row>
    <row r="4">
      <c r="A4" s="15" t="inlineStr">
        <is>
          <t>2026-06-10</t>
        </is>
      </c>
      <c r="B4" s="16" t="n">
        <v>37754.93</v>
      </c>
      <c r="C4" s="15" t="n">
        <v>165356</v>
      </c>
      <c r="D4" s="15" t="n">
        <v>127030</v>
      </c>
      <c r="E4" s="15" t="n">
        <v>5640</v>
      </c>
      <c r="F4" s="17" t="n">
        <v>3.41</v>
      </c>
      <c r="G4" s="16" t="n">
        <v>6.69</v>
      </c>
      <c r="H4" s="16" t="n">
        <v>228.33</v>
      </c>
      <c r="I4" s="15" t="inlineStr"/>
      <c r="J4" s="16" t="inlineStr"/>
      <c r="K4" s="18" t="n">
        <v>3.25</v>
      </c>
    </row>
    <row r="5">
      <c r="A5" s="15" t="inlineStr">
        <is>
          <t>2026-06-11</t>
        </is>
      </c>
      <c r="B5" s="16" t="n">
        <v>33558.09</v>
      </c>
      <c r="C5" s="15" t="n">
        <v>184783</v>
      </c>
      <c r="D5" s="15" t="n">
        <v>147094</v>
      </c>
      <c r="E5" s="15" t="n">
        <v>5194</v>
      </c>
      <c r="F5" s="17" t="n">
        <v>2.81</v>
      </c>
      <c r="G5" s="16" t="n">
        <v>6.46</v>
      </c>
      <c r="H5" s="16" t="n">
        <v>181.61</v>
      </c>
      <c r="I5" s="15" t="inlineStr"/>
      <c r="J5" s="16" t="inlineStr"/>
      <c r="K5" s="18" t="n">
        <v>2.47</v>
      </c>
    </row>
    <row r="6">
      <c r="A6" s="15" t="inlineStr">
        <is>
          <t>2026-06-12</t>
        </is>
      </c>
      <c r="B6" s="16" t="n">
        <v>35273.82</v>
      </c>
      <c r="C6" s="15" t="n">
        <v>162701</v>
      </c>
      <c r="D6" s="15" t="n">
        <v>129562</v>
      </c>
      <c r="E6" s="15" t="n">
        <v>4754</v>
      </c>
      <c r="F6" s="17" t="n">
        <v>2.92</v>
      </c>
      <c r="G6" s="16" t="n">
        <v>7.42</v>
      </c>
      <c r="H6" s="16" t="n">
        <v>216.8</v>
      </c>
      <c r="I6" s="15" t="inlineStr"/>
      <c r="J6" s="16" t="inlineStr"/>
      <c r="K6" s="18" t="n">
        <v>2.83</v>
      </c>
    </row>
    <row r="7">
      <c r="A7" s="15" t="inlineStr">
        <is>
          <t>2026-06-13</t>
        </is>
      </c>
      <c r="B7" s="16" t="n">
        <v>34471.72</v>
      </c>
      <c r="C7" s="15" t="n">
        <v>150326</v>
      </c>
      <c r="D7" s="15" t="n">
        <v>118509</v>
      </c>
      <c r="E7" s="15" t="n">
        <v>4625</v>
      </c>
      <c r="F7" s="17" t="n">
        <v>3.08</v>
      </c>
      <c r="G7" s="16" t="n">
        <v>7.45</v>
      </c>
      <c r="H7" s="16" t="n">
        <v>229.31</v>
      </c>
      <c r="I7" s="15" t="inlineStr"/>
      <c r="J7" s="16" t="inlineStr"/>
      <c r="K7" s="18" t="n">
        <v>3.22</v>
      </c>
    </row>
    <row r="8">
      <c r="A8" s="15" t="inlineStr">
        <is>
          <t>2026-06-14</t>
        </is>
      </c>
      <c r="B8" s="16" t="n">
        <v>36575.92</v>
      </c>
      <c r="C8" s="15" t="n">
        <v>175284</v>
      </c>
      <c r="D8" s="15" t="n">
        <v>140655</v>
      </c>
      <c r="E8" s="15" t="n">
        <v>4881</v>
      </c>
      <c r="F8" s="17" t="n">
        <v>2.78</v>
      </c>
      <c r="G8" s="16" t="n">
        <v>7.49</v>
      </c>
      <c r="H8" s="16" t="n">
        <v>208.67</v>
      </c>
      <c r="I8" s="15" t="inlineStr"/>
      <c r="J8" s="16" t="inlineStr"/>
      <c r="K8" s="18" t="n">
        <v>2.64</v>
      </c>
    </row>
    <row r="9">
      <c r="A9" s="15" t="inlineStr">
        <is>
          <t>2026-06-15</t>
        </is>
      </c>
      <c r="B9" s="16" t="n">
        <v>38259.78</v>
      </c>
      <c r="C9" s="15" t="n">
        <v>178155</v>
      </c>
      <c r="D9" s="15" t="n">
        <v>138615</v>
      </c>
      <c r="E9" s="15" t="n">
        <v>5232</v>
      </c>
      <c r="F9" s="17" t="n">
        <v>2.94</v>
      </c>
      <c r="G9" s="16" t="n">
        <v>7.31</v>
      </c>
      <c r="H9" s="16" t="n">
        <v>214.76</v>
      </c>
      <c r="I9" s="15" t="n">
        <v>40</v>
      </c>
      <c r="J9" s="16" t="n">
        <v>956.49</v>
      </c>
      <c r="K9" s="18" t="n">
        <v>2.79</v>
      </c>
    </row>
  </sheetData>
  <autoFilter ref="A1:K9"/>
  <conditionalFormatting sqref="K2:K9">
    <cfRule type="cellIs" priority="1" operator="lessThan" dxfId="0">
      <formula>1.5</formula>
    </cfRule>
    <cfRule type="cellIs" priority="2" operator="greaterThan" dxfId="1">
      <formula>3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2" customWidth="1" min="1" max="1"/>
    <col width="14" customWidth="1" min="2" max="2"/>
    <col width="14" customWidth="1" min="3" max="3"/>
    <col width="11" customWidth="1" min="4" max="4"/>
  </cols>
  <sheetData>
    <row r="1" ht="28" customHeight="1">
      <c r="A1" s="1" t="inlineStr">
        <is>
          <t>PRODUCT PERFORMANCE — 2026-06-15</t>
        </is>
      </c>
    </row>
    <row r="2" ht="6" customHeight="1"/>
    <row r="3">
      <c r="A3" s="14" t="inlineStr">
        <is>
          <t>Product</t>
        </is>
      </c>
      <c r="B3" s="14" t="inlineStr">
        <is>
          <t>Gross Sales</t>
        </is>
      </c>
      <c r="C3" s="14" t="inlineStr">
        <is>
          <t>Net Sales</t>
        </is>
      </c>
      <c r="D3" s="14" t="inlineStr">
        <is>
          <t>Units Sold</t>
        </is>
      </c>
    </row>
    <row r="4">
      <c r="A4" s="15" t="inlineStr">
        <is>
          <t>"The Essential" - White Cotton Shirt &amp; Pant Co-ord Set</t>
        </is>
      </c>
      <c r="B4" s="19" t="n">
        <v>24488</v>
      </c>
      <c r="C4" s="19" t="n">
        <v>24488</v>
      </c>
      <c r="D4" s="15" t="n">
        <v>10</v>
      </c>
    </row>
    <row r="5">
      <c r="A5" s="15" t="inlineStr">
        <is>
          <t>Embroidered Rayon Kurti with Farshi Salwar Set — Elegant Ethnic Co-Ord for Women</t>
        </is>
      </c>
      <c r="B5" s="19" t="n">
        <v>13995</v>
      </c>
      <c r="C5" s="19" t="n">
        <v>13995</v>
      </c>
      <c r="D5" s="15" t="n">
        <v>5</v>
      </c>
    </row>
    <row r="6">
      <c r="A6" s="15" t="inlineStr">
        <is>
          <t>Eclipse Grace Premium Crepe Salwar Suit set | DHIRAI</t>
        </is>
      </c>
      <c r="B6" s="19" t="n">
        <v>11996</v>
      </c>
      <c r="C6" s="19" t="n">
        <v>11996</v>
      </c>
      <c r="D6" s="15" t="n">
        <v>4</v>
      </c>
    </row>
    <row r="7">
      <c r="A7" s="15" t="inlineStr">
        <is>
          <t>Hania Aamir Inspired Viral Satin Silk Kurta Palazzo Set – Elegant 2 Piece Ethnic Set</t>
        </is>
      </c>
      <c r="B7" s="19" t="n">
        <v>9297</v>
      </c>
      <c r="C7" s="19" t="n">
        <v>9297</v>
      </c>
      <c r="D7" s="15" t="n">
        <v>3</v>
      </c>
    </row>
    <row r="8">
      <c r="A8" s="15" t="inlineStr">
        <is>
          <t>"Ruhani" – Cream Premium Rayon Co-ord Set with Lace-Edged Pink Dupatta</t>
        </is>
      </c>
      <c r="B8" s="19" t="n">
        <v>7497</v>
      </c>
      <c r="C8" s="19" t="n">
        <v>7372.05</v>
      </c>
      <c r="D8" s="15" t="n">
        <v>3</v>
      </c>
    </row>
    <row r="9">
      <c r="A9" s="15" t="inlineStr">
        <is>
          <t>Everyday Elegance Cotton Kurta Pant Set</t>
        </is>
      </c>
      <c r="B9" s="19" t="n">
        <v>5997</v>
      </c>
      <c r="C9" s="19" t="n">
        <v>5997</v>
      </c>
      <c r="D9" s="15" t="n">
        <v>2</v>
      </c>
    </row>
    <row r="10">
      <c r="A10" s="15" t="inlineStr">
        <is>
          <t>"Rakta" - Crimson Red Shalwar Suit Set</t>
        </is>
      </c>
      <c r="B10" s="19" t="n">
        <v>4998</v>
      </c>
      <c r="C10" s="19" t="n">
        <v>4998</v>
      </c>
      <c r="D10" s="15" t="n">
        <v>2</v>
      </c>
    </row>
    <row r="11">
      <c r="A11" s="15" t="inlineStr">
        <is>
          <t>Elegant Pakistani-Style Mauve Kurta Set</t>
        </is>
      </c>
      <c r="B11" s="19" t="n">
        <v>3998</v>
      </c>
      <c r="C11" s="19" t="n">
        <v>3998</v>
      </c>
      <c r="D11" s="15" t="n">
        <v>2</v>
      </c>
    </row>
    <row r="12">
      <c r="A12" s="15" t="inlineStr">
        <is>
          <t>"Inayat" — Power Pastel Cotton Shirt &amp; Trouser Co-ord Set</t>
        </is>
      </c>
      <c r="B12" s="19" t="n">
        <v>3998</v>
      </c>
      <c r="C12" s="19" t="n">
        <v>3998</v>
      </c>
      <c r="D12" s="15" t="n">
        <v>2</v>
      </c>
    </row>
    <row r="13">
      <c r="A13" s="15" t="inlineStr">
        <is>
          <t>"Nidra" - Jet Black Premium Georgette Suit Set with Ruby Red Lace</t>
        </is>
      </c>
      <c r="B13" s="19" t="n">
        <v>2999</v>
      </c>
      <c r="C13" s="19" t="n">
        <v>2999</v>
      </c>
      <c r="D13" s="15" t="n">
        <v>1</v>
      </c>
    </row>
    <row r="14">
      <c r="A14" s="15" t="inlineStr">
        <is>
          <t>"Mehr" - Beige &amp; Black Straight-Cut Kurta Set</t>
        </is>
      </c>
      <c r="B14" s="19" t="n">
        <v>2999</v>
      </c>
      <c r="C14" s="19" t="n">
        <v>2999</v>
      </c>
      <c r="D14" s="15" t="n">
        <v>1</v>
      </c>
    </row>
    <row r="15">
      <c r="A15" s="15" t="inlineStr">
        <is>
          <t>Embroidered Rayon Kurti with Farshi Salwar Set — Elegant Co-Ord for Women</t>
        </is>
      </c>
      <c r="B15" s="19" t="n">
        <v>2799</v>
      </c>
      <c r="C15" s="19" t="n">
        <v>2799</v>
      </c>
      <c r="D15" s="15" t="n">
        <v>1</v>
      </c>
    </row>
    <row r="16">
      <c r="A16" s="15" t="inlineStr">
        <is>
          <t>Ira Rayon Co-ord Set for Women | Relaxed Fit Shirt Top with Draped Pants</t>
        </is>
      </c>
      <c r="B16" s="19" t="n">
        <v>2499</v>
      </c>
      <c r="C16" s="19" t="n">
        <v>2499</v>
      </c>
      <c r="D16" s="15" t="n">
        <v>1</v>
      </c>
    </row>
    <row r="17">
      <c r="A17" s="15" t="inlineStr">
        <is>
          <t>Aabha Pure Cotton Farshi Salwar Kurta Set</t>
        </is>
      </c>
      <c r="B17" s="19" t="n">
        <v>2499</v>
      </c>
      <c r="C17" s="19" t="n">
        <v>2499</v>
      </c>
      <c r="D17" s="15" t="n">
        <v>1</v>
      </c>
    </row>
    <row r="18">
      <c r="A18" s="15" t="inlineStr">
        <is>
          <t>"Dhruvi" - Sage Green Cotton Anarkali Suit Set with Lace</t>
        </is>
      </c>
      <c r="B18" s="19" t="n">
        <v>2499</v>
      </c>
      <c r="C18" s="19" t="n">
        <v>2499</v>
      </c>
      <c r="D18" s="15" t="n">
        <v>1</v>
      </c>
    </row>
  </sheetData>
  <autoFilter ref="A3:D18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3" customWidth="1" min="4" max="4"/>
    <col width="11" customWidth="1" min="5" max="5"/>
    <col width="9" customWidth="1" min="6" max="6"/>
    <col width="9" customWidth="1" min="7" max="7"/>
    <col width="8" customWidth="1" min="8" max="8"/>
    <col width="10" customWidth="1" min="9" max="9"/>
    <col width="9" customWidth="1" min="10" max="10"/>
    <col width="8" customWidth="1" min="11" max="11"/>
  </cols>
  <sheetData>
    <row r="1" ht="28" customHeight="1">
      <c r="A1" s="1" t="inlineStr">
        <is>
          <t>CAMPAIGN PERFORMANCE — 2026-06-15</t>
        </is>
      </c>
    </row>
    <row r="2" ht="6" customHeight="1"/>
    <row r="3">
      <c r="A3" s="14" t="inlineStr">
        <is>
          <t>Campaign</t>
        </is>
      </c>
      <c r="B3" s="14" t="inlineStr">
        <is>
          <t>Status</t>
        </is>
      </c>
      <c r="C3" s="14" t="inlineStr">
        <is>
          <t>Spend</t>
        </is>
      </c>
      <c r="D3" s="14" t="inlineStr">
        <is>
          <t>Impressions</t>
        </is>
      </c>
      <c r="E3" s="14" t="inlineStr">
        <is>
          <t>Reach</t>
        </is>
      </c>
      <c r="F3" s="14" t="inlineStr">
        <is>
          <t>Clicks</t>
        </is>
      </c>
      <c r="G3" s="14" t="inlineStr">
        <is>
          <t>CTR (%)</t>
        </is>
      </c>
      <c r="H3" s="14" t="inlineStr">
        <is>
          <t>CPC</t>
        </is>
      </c>
      <c r="I3" s="14" t="inlineStr">
        <is>
          <t>Purchases</t>
        </is>
      </c>
      <c r="J3" s="14" t="inlineStr">
        <is>
          <t>CPA</t>
        </is>
      </c>
      <c r="K3" s="14" t="inlineStr">
        <is>
          <t>ROAS</t>
        </is>
      </c>
    </row>
    <row r="4">
      <c r="A4" s="15" t="inlineStr">
        <is>
          <t>Dhirai Scale -ASC</t>
        </is>
      </c>
      <c r="B4" s="15" t="inlineStr">
        <is>
          <t>ACTIVE</t>
        </is>
      </c>
      <c r="C4" s="16" t="n">
        <v>23154.65</v>
      </c>
      <c r="D4" s="15" t="n">
        <v>108147</v>
      </c>
      <c r="E4" s="15" t="n">
        <v>90245</v>
      </c>
      <c r="F4" s="15" t="n">
        <v>2998</v>
      </c>
      <c r="G4" s="17" t="n">
        <v>2.77</v>
      </c>
      <c r="H4" s="16" t="n">
        <v>7.72</v>
      </c>
      <c r="I4" s="15" t="n">
        <v>17</v>
      </c>
      <c r="J4" s="16" t="n">
        <v>1362.04</v>
      </c>
      <c r="K4" s="18" t="n">
        <v>2.11</v>
      </c>
    </row>
    <row r="5">
      <c r="A5" s="15" t="inlineStr">
        <is>
          <t>Black DHURANDHAR</t>
        </is>
      </c>
      <c r="B5" s="15" t="inlineStr">
        <is>
          <t>ACTIVE</t>
        </is>
      </c>
      <c r="C5" s="16" t="n">
        <v>8209.27</v>
      </c>
      <c r="D5" s="15" t="n">
        <v>48810</v>
      </c>
      <c r="E5" s="15" t="n">
        <v>43310</v>
      </c>
      <c r="F5" s="15" t="n">
        <v>1560</v>
      </c>
      <c r="G5" s="17" t="n">
        <v>3.2</v>
      </c>
      <c r="H5" s="16" t="n">
        <v>5.26</v>
      </c>
      <c r="I5" s="15" t="n">
        <v>15</v>
      </c>
      <c r="J5" s="16" t="n">
        <v>547.28</v>
      </c>
      <c r="K5" s="18" t="n">
        <v>4.45</v>
      </c>
    </row>
    <row r="6">
      <c r="A6" s="15" t="inlineStr">
        <is>
          <t>Retargeting- new</t>
        </is>
      </c>
      <c r="B6" s="15" t="inlineStr">
        <is>
          <t>ACTIVE</t>
        </is>
      </c>
      <c r="C6" s="16" t="n">
        <v>6895.86</v>
      </c>
      <c r="D6" s="15" t="n">
        <v>21198</v>
      </c>
      <c r="E6" s="15" t="n">
        <v>14565</v>
      </c>
      <c r="F6" s="15" t="n">
        <v>674</v>
      </c>
      <c r="G6" s="17" t="n">
        <v>3.18</v>
      </c>
      <c r="H6" s="16" t="n">
        <v>10.23</v>
      </c>
      <c r="I6" s="15" t="n">
        <v>8</v>
      </c>
      <c r="J6" s="16" t="n">
        <v>861.98</v>
      </c>
      <c r="K6" s="18" t="n">
        <v>3.13</v>
      </c>
    </row>
    <row r="8">
      <c r="A8" s="20" t="inlineStr">
        <is>
          <t>+ 61 other campaigns were PAUSED with ₹0 spend yesterday (not shown).</t>
        </is>
      </c>
    </row>
  </sheetData>
  <autoFilter ref="A3:K6"/>
  <mergeCells count="1">
    <mergeCell ref="A1:K1"/>
  </mergeCells>
  <conditionalFormatting sqref="K4:K6">
    <cfRule type="cellIs" priority="1" operator="lessThan" dxfId="0">
      <formula>1.5</formula>
    </cfRule>
    <cfRule type="cellIs" priority="2" operator="between" dxfId="2">
      <formula>1.5</formula>
      <formula>3</formula>
    </cfRule>
    <cfRule type="cellIs" priority="3" operator="greaterThan" dxfId="1">
      <formula>3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0" customWidth="1" min="2" max="2"/>
  </cols>
  <sheetData>
    <row r="1" ht="28" customHeight="1">
      <c r="A1" s="1" t="inlineStr">
        <is>
          <t>RECOMMENDATIONS &amp; NOTES — 2026-06-15</t>
        </is>
      </c>
    </row>
    <row r="2" ht="6" customHeight="1"/>
    <row r="3">
      <c r="A3" s="2" t="inlineStr">
        <is>
          <t>URGENT ISSUES</t>
        </is>
      </c>
    </row>
    <row r="4">
      <c r="A4" s="21" t="inlineStr">
        <is>
          <t>🚨</t>
        </is>
      </c>
      <c r="B4" s="22" t="inlineStr">
        <is>
          <t>PAUSE-REVIEW 'Dhirai Scale -ASC' — it carries 61% of yesterday's ad spend (₹23,154.65) but has the weakest ROAS (2.11x) and highest CPA (₹1,362.04) of the 3 active campaigns. Trim budget or test new creative/audience before scaling further.</t>
        </is>
      </c>
    </row>
    <row r="6">
      <c r="A6" s="2" t="inlineStr">
        <is>
          <t>RECOMMENDED ACTIONS</t>
        </is>
      </c>
    </row>
    <row r="7" ht="30" customHeight="1">
      <c r="A7" s="23" t="inlineStr">
        <is>
          <t>⚠️</t>
        </is>
      </c>
      <c r="B7" s="24" t="inlineStr">
        <is>
          <t>Orders down 7.8% vs 7-day avg (42 vs 45.6 avg), but AOV up 10.1% — revenue held flat on bigger baskets. Watch traffic/conversion rate if the order trend continues.</t>
        </is>
      </c>
    </row>
    <row r="8" ht="30" customHeight="1">
      <c r="A8" s="23" t="inlineStr">
        <is>
          <t>🚨</t>
        </is>
      </c>
      <c r="B8" s="24" t="inlineStr">
        <is>
          <t>PAUSE-REVIEW 'Dhirai Scale -ASC' — it carries 61% of yesterday's ad spend (₹23,154.65) but has the weakest ROAS (2.11x) and highest CPA (₹1,362.04) of the 3 active campaigns. Trim budget or test new creative/audience before scaling further.</t>
        </is>
      </c>
    </row>
    <row r="9" ht="30" customHeight="1">
      <c r="A9" s="25" t="inlineStr">
        <is>
          <t>✅</t>
        </is>
      </c>
      <c r="B9" s="26" t="inlineStr">
        <is>
          <t>SCALE 'Black DHURANDHAR' — best performer yesterday: ROAS 4.45x, CPA ₹547.28 on ₹8,209.27 spend. Increase budget 20–30% while monitoring CPA.</t>
        </is>
      </c>
    </row>
    <row r="10" ht="30" customHeight="1">
      <c r="A10" s="23" t="inlineStr">
        <is>
          <t>⚠️</t>
        </is>
      </c>
      <c r="B10" s="24" t="inlineStr">
        <is>
          <t>Expand targeting on ad sets 'Best performing ads' and 'Black and multiple' — both flagged with narrow audience (~1,000 people), which risks rising frequency/CPMs. Test Advantage+ audience.</t>
        </is>
      </c>
    </row>
    <row r="11" ht="30" customHeight="1">
      <c r="A11" s="27" t="inlineStr">
        <is>
          <t>ℹ️</t>
        </is>
      </c>
      <c r="B11" s="13" t="inlineStr">
        <is>
          <t>Abandoned checkouts were very low (2 in the 8-day window, ₹1,999 and ₹1,099) — confirm recovery emails are active; low volume is good but also worth a quick tracking sanity-check.</t>
        </is>
      </c>
    </row>
    <row r="12" ht="30" customHeight="1">
      <c r="A12" s="27" t="inlineStr">
        <is>
          <t>ℹ️</t>
        </is>
      </c>
      <c r="B12" s="13" t="inlineStr">
        <is>
          <t>Inventory healthy across yesterday's top-selling products — no low-stock risk identified.</t>
        </is>
      </c>
    </row>
    <row r="14">
      <c r="A14" s="2" t="inlineStr">
        <is>
          <t>ANOMALIES &amp; SIGNALS (META)</t>
        </is>
      </c>
    </row>
    <row r="15" ht="30" customHeight="1">
      <c r="A15" t="inlineStr">
        <is>
          <t>📊</t>
        </is>
      </c>
      <c r="B15" s="13" t="inlineStr">
        <is>
          <t>Narrow audience warning: ad set 'Best performing ads' (id 120237867745550464) — estimated audience size only ~1,000. Consider expanding audience or testing Advantage+ audience.</t>
        </is>
      </c>
    </row>
    <row r="16" ht="30" customHeight="1">
      <c r="A16" t="inlineStr">
        <is>
          <t>📊</t>
        </is>
      </c>
      <c r="B16" s="13" t="inlineStr">
        <is>
          <t>Narrow audience warning: ad set 'Black and multiple' (id 120238324193200464) — estimated audience size only ~1,000. Consider expanding audience or testing Advantage+ audience.</t>
        </is>
      </c>
    </row>
    <row r="18">
      <c r="A18" s="2" t="inlineStr">
        <is>
          <t>ABANDONED CHECKOUTS (WINDOW)</t>
        </is>
      </c>
    </row>
    <row r="19">
      <c r="A19" s="28" t="inlineStr">
        <is>
          <t>Date</t>
        </is>
      </c>
      <c r="B19" s="28" t="inlineStr">
        <is>
          <t>Value</t>
        </is>
      </c>
    </row>
    <row r="20">
      <c r="A20" t="inlineStr">
        <is>
          <t>2026-06-13</t>
        </is>
      </c>
      <c r="B20" t="inlineStr">
        <is>
          <t>₹1,999</t>
        </is>
      </c>
    </row>
    <row r="21">
      <c r="A21" t="inlineStr">
        <is>
          <t>2026-06-15</t>
        </is>
      </c>
      <c r="B21" t="inlineStr">
        <is>
          <t>₹1,099</t>
        </is>
      </c>
    </row>
    <row r="22">
      <c r="A22" s="20" t="inlineStr">
        <is>
          <t>Only 2 abandoned checkouts in the 8-day window — low volume,</t>
        </is>
      </c>
    </row>
    <row r="23">
      <c r="A23" s="20" t="inlineStr">
        <is>
          <t>verify abandoned-checkout recovery emails are active.</t>
        </is>
      </c>
    </row>
    <row r="25">
      <c r="A25" s="2" t="inlineStr">
        <is>
          <t>UNAVAILABLE METRICS / DATA NOTES</t>
        </is>
      </c>
    </row>
    <row r="26" ht="30" customHeight="1">
      <c r="A26" t="inlineStr">
        <is>
          <t>ℹ️</t>
        </is>
      </c>
      <c r="B26" s="13" t="inlineStr">
        <is>
          <t>Order cancellations: not reliably retrievable via available Shopify tooling for a bounded date range (date filters on the orders endpoint were not honoured) — left blank rather than estimated.</t>
        </is>
      </c>
    </row>
    <row r="27" ht="30" customHeight="1">
      <c r="A27" t="inlineStr">
        <is>
          <t>ℹ️</t>
        </is>
      </c>
      <c r="B27" s="13" t="inlineStr">
        <is>
          <t>Failed payments: no dedicated Shopify data source was accessible for this metric — left blank.</t>
        </is>
      </c>
    </row>
    <row r="28" ht="30" customHeight="1">
      <c r="A28" t="inlineStr">
        <is>
          <t>ℹ️</t>
        </is>
      </c>
      <c r="B28" s="13" t="inlineStr">
        <is>
          <t>Meta historical (7-day) purchase counts / CPA: the Meta accountlevel 'results'/'conversions' fields returned 'Not available' for daily account-level rows; only campaign-level breakdown (available for yesterday) reliably exposes purchase counts. 7-day average purchases/CPA are therefore omitted rather than guessed.</t>
        </is>
      </c>
    </row>
    <row r="29" ht="30" customHeight="1">
      <c r="A29" t="inlineStr">
        <is>
          <t>ℹ️</t>
        </is>
      </c>
      <c r="B29" s="13" t="inlineStr">
        <is>
          <t>Meta ROAS field used is Meta's blended purchase_roas per campaign/account, which may differ slightly from Shopify-attributed revenue due to attribution-window differences.</t>
        </is>
      </c>
    </row>
  </sheetData>
  <mergeCells count="6">
    <mergeCell ref="A25:B25"/>
    <mergeCell ref="A14:B14"/>
    <mergeCell ref="A1:B1"/>
    <mergeCell ref="A18:B18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2026-06-16T17:57:11Z</dcterms:created>
  <dcterms:modified xsi:type="dcterms:W3CDTF">2026-06-16T17:57:11Z</dcterms:modified>
</cp:coreProperties>
</file>