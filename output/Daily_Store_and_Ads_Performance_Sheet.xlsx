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hopify Daily Data" sheetId="2" state="visible" r:id="rId2"/>
    <sheet name="Meta Ads Daily Data" sheetId="3" state="visible" r:id="rId3"/>
    <sheet name="Product Performance" sheetId="4" state="visible" r:id="rId4"/>
    <sheet name="Campaign Performance" sheetId="5" state="visible" r:id="rId5"/>
    <sheet name="Recommendations &amp; Notes" sheetId="6" state="visible" r:id="rId6"/>
  </sheets>
  <definedNames>
    <definedName name="_xlnm._FilterDatabase" localSheetId="1" hidden="1">'Shopify Daily Data'!$A$1:$O$9</definedName>
    <definedName name="_xlnm._FilterDatabase" localSheetId="2" hidden="1">'Meta Ads Daily Data'!$A$1:$K$9</definedName>
    <definedName name="_xlnm._FilterDatabase" localSheetId="3" hidden="1">'Product Performance'!$A$3:$E$13</definedName>
    <definedName name="_xlnm._FilterDatabase" localSheetId="4" hidden="1">'Campaign Performance'!$A$10:$L$19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.00"/>
    <numFmt numFmtId="165" formatCode="0.00&quot;x&quot;"/>
    <numFmt numFmtId="166" formatCode="+0.0%;-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sz val="11"/>
    </font>
    <font>
      <name val="Arial"/>
      <b val="1"/>
      <color rgb="00FFFFFF"/>
      <sz val="16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2A6F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0" pivotButton="0" quotePrefix="0" xfId="0"/>
    <xf numFmtId="166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1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164" fontId="2" fillId="0" borderId="1" pivotButton="0" quotePrefix="0" xfId="0"/>
    <xf numFmtId="10" fontId="2" fillId="0" borderId="1" pivotButton="0" quotePrefix="0" xfId="0"/>
    <xf numFmtId="165" fontId="2" fillId="0" borderId="1" pivotButton="0" quotePrefix="0" xfId="0"/>
    <xf numFmtId="0" fontId="3" fillId="3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8C6"/>
        </patternFill>
      </fill>
    </dxf>
    <dxf>
      <fill>
        <patternFill patternType="solid">
          <fgColor rgb="00F5B6B6"/>
        </patternFill>
      </fill>
    </dxf>
    <dxf>
      <fill>
        <patternFill patternType="solid">
          <fgColor rgb="00FFF3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 Sales Trend (₹)</a:t>
            </a:r>
          </a:p>
        </rich>
      </tx>
    </title>
    <plotArea>
      <lineChart>
        <grouping val="standard"/>
        <ser>
          <idx val="0"/>
          <order val="0"/>
          <tx>
            <strRef>
              <f>'Shopify Daily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'Shopify Daily Data'!$A$2:$A$9</f>
            </numRef>
          </cat>
          <val>
            <numRef>
              <f>'Shopify Daily Data'!$B$2:$B$9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Gross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Orders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'Shopify Daily Data'!D1</f>
            </strRef>
          </tx>
          <spPr>
            <a:ln>
              <a:prstDash val="solid"/>
            </a:ln>
          </spPr>
          <cat>
            <numRef>
              <f>'Shopify Daily Data'!$A$2:$A$9</f>
            </numRef>
          </cat>
          <val>
            <numRef>
              <f>'Shopify Daily Data'!$D$2:$D$9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 Spend Trend (₹)</a:t>
            </a:r>
          </a:p>
        </rich>
      </tx>
    </title>
    <plotArea>
      <lineChart>
        <grouping val="standard"/>
        <ser>
          <idx val="0"/>
          <order val="0"/>
          <tx>
            <strRef>
              <f>'Meta Ads Daily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'Meta Ads Daily Data'!$A$2:$A$9</f>
            </numRef>
          </cat>
          <val>
            <numRef>
              <f>'Meta Ads Daily Data'!$B$2:$B$9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ROAS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'Meta Ads Daily Data'!K1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'Meta Ads Daily Data'!$A$2:$A$9</f>
            </numRef>
          </cat>
          <val>
            <numRef>
              <f>'Meta Ads Daily Data'!$K$2:$K$9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— Yesterday (Gross Sales ₹)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Performance'!B3</f>
            </strRef>
          </tx>
          <spPr>
            <a:ln>
              <a:prstDash val="solid"/>
            </a:ln>
          </spPr>
          <cat>
            <numRef>
              <f>'Product Performance'!$A$4:$A$13</f>
            </numRef>
          </cat>
          <val>
            <numRef>
              <f>'Product Performance'!$B$4:$B$13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Campaign Spend — Yesterday (₹)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'Campaign Performance'!C3</f>
            </strRef>
          </tx>
          <spPr>
            <a:ln>
              <a:prstDash val="solid"/>
            </a:ln>
          </spPr>
          <cat>
            <numRef>
              <f>'Campaign Performance'!$A$4:$A$7</f>
            </numRef>
          </cat>
          <val>
            <numRef>
              <f>'Campaign Performance'!$C$4:$C$7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3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20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37</row>
      <rowOff>0</rowOff>
    </from>
    <ext cx="540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16</col>
      <colOff>0</colOff>
      <row>37</row>
      <rowOff>0</rowOff>
    </from>
    <ext cx="540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DAILY STORE &amp; ADS PERFORMANCE DASHBOARD</t>
        </is>
      </c>
      <c r="B1" s="2" t="n"/>
      <c r="C1" s="2" t="n"/>
      <c r="D1" s="2" t="n"/>
      <c r="E1" s="2" t="n"/>
      <c r="F1" s="2" t="n"/>
    </row>
    <row r="2">
      <c r="A2" s="3" t="inlineStr">
        <is>
          <t>Reporting date (Asia/Kolkata): 2026-07-18   |   Store: 36dhns-ed.myshopify.com   |   Currency: INR</t>
        </is>
      </c>
    </row>
    <row r="4">
      <c r="A4" s="4" t="inlineStr">
        <is>
          <t>EXECUTIVE SUMMARY</t>
        </is>
      </c>
      <c r="B4" s="5" t="n"/>
      <c r="C4" s="5" t="n"/>
      <c r="D4" s="5" t="n"/>
      <c r="E4" s="5" t="n"/>
      <c r="F4" s="5" t="n"/>
    </row>
    <row r="5">
      <c r="A5" s="6" t="inlineStr">
        <is>
          <t>Both Shopify revenue and Meta Ads purchases fell sharply yesterday vs. the trailing 7-day average.</t>
        </is>
      </c>
    </row>
    <row r="6">
      <c r="A6" s="6" t="inlineStr">
        <is>
          <t>Ad efficiency (CPC, CPM) improved, but ROAS and CPA moved the wrong way as purchase volume dropped.</t>
        </is>
      </c>
    </row>
    <row r="7">
      <c r="A7" s="6" t="inlineStr">
        <is>
          <t>One ad set is running below breakeven and one is flagged for a narrow audience — see Campaign Performance tab.</t>
        </is>
      </c>
    </row>
    <row r="9">
      <c r="A9" s="4" t="inlineStr">
        <is>
          <t>SHOPIFY PERFORMANCE</t>
        </is>
      </c>
      <c r="B9" s="5" t="n"/>
      <c r="C9" s="5" t="n"/>
      <c r="D9" s="5" t="n"/>
    </row>
    <row r="10">
      <c r="A10" s="7" t="inlineStr">
        <is>
          <t>Metric</t>
        </is>
      </c>
      <c r="B10" s="7" t="inlineStr">
        <is>
          <t>Yesterday</t>
        </is>
      </c>
      <c r="C10" s="7" t="inlineStr">
        <is>
          <t>7-Day Avg</t>
        </is>
      </c>
      <c r="D10" s="7" t="inlineStr">
        <is>
          <t>Change vs Avg</t>
        </is>
      </c>
    </row>
    <row r="11">
      <c r="A11" s="6" t="inlineStr">
        <is>
          <t>Gross Sales</t>
        </is>
      </c>
      <c r="B11" s="8">
        <f>INDEX('Shopify Daily Data'!B:B,COUNTA('Shopify Daily Data'!A:A))</f>
        <v/>
      </c>
      <c r="C11" s="8">
        <f>IFERROR(AVERAGE(OFFSET('Shopify Daily Data'!B1,COUNTA('Shopify Daily Data'!A:A)-8,0,7,1)),"n/a")</f>
        <v/>
      </c>
      <c r="D11" s="9">
        <f>IFERROR((B11-C11)/C11,"n/a")</f>
        <v/>
      </c>
    </row>
    <row r="12">
      <c r="A12" s="6" t="inlineStr">
        <is>
          <t>Net Sales</t>
        </is>
      </c>
      <c r="B12" s="8">
        <f>INDEX('Shopify Daily Data'!C:C,COUNTA('Shopify Daily Data'!A:A))</f>
        <v/>
      </c>
      <c r="C12" s="8">
        <f>IFERROR(AVERAGE(OFFSET('Shopify Daily Data'!C1,COUNTA('Shopify Daily Data'!A:A)-8,0,7,1)),"n/a")</f>
        <v/>
      </c>
      <c r="D12" s="9">
        <f>IFERROR((B12-C12)/C12,"n/a")</f>
        <v/>
      </c>
    </row>
    <row r="13">
      <c r="A13" s="6" t="inlineStr">
        <is>
          <t>Orders</t>
        </is>
      </c>
      <c r="B13" s="10">
        <f>INDEX('Shopify Daily Data'!D:D,COUNTA('Shopify Daily Data'!A:A))</f>
        <v/>
      </c>
      <c r="C13" s="10">
        <f>IFERROR(AVERAGE(OFFSET('Shopify Daily Data'!D1,COUNTA('Shopify Daily Data'!A:A)-8,0,7,1)),"n/a")</f>
        <v/>
      </c>
      <c r="D13" s="9">
        <f>IFERROR((B13-C13)/C13,"n/a")</f>
        <v/>
      </c>
    </row>
    <row r="14">
      <c r="A14" s="6" t="inlineStr">
        <is>
          <t>Avg Order Value</t>
        </is>
      </c>
      <c r="B14" s="8">
        <f>INDEX('Shopify Daily Data'!E:E,COUNTA('Shopify Daily Data'!A:A))</f>
        <v/>
      </c>
      <c r="C14" s="8">
        <f>IFERROR(AVERAGE(OFFSET('Shopify Daily Data'!E1,COUNTA('Shopify Daily Data'!A:A)-8,0,7,1)),"n/a")</f>
        <v/>
      </c>
      <c r="D14" s="9">
        <f>IFERROR((B14-C14)/C14,"n/a")</f>
        <v/>
      </c>
    </row>
    <row r="15">
      <c r="A15" s="6" t="inlineStr">
        <is>
          <t>Returns</t>
        </is>
      </c>
      <c r="B15" s="8">
        <f>INDEX('Shopify Daily Data'!H:H,COUNTA('Shopify Daily Data'!A:A))</f>
        <v/>
      </c>
      <c r="C15" s="8">
        <f>IFERROR(AVERAGE(OFFSET('Shopify Daily Data'!H1,COUNTA('Shopify Daily Data'!A:A)-8,0,7,1)),"n/a")</f>
        <v/>
      </c>
      <c r="D15" s="9">
        <f>IFERROR((B15-C15)/C15,"n/a")</f>
        <v/>
      </c>
    </row>
    <row r="17">
      <c r="A17" s="4" t="inlineStr">
        <is>
          <t>META ADS PERFORMANCE</t>
        </is>
      </c>
      <c r="B17" s="5" t="n"/>
      <c r="C17" s="5" t="n"/>
      <c r="D17" s="5" t="n"/>
    </row>
    <row r="18">
      <c r="A18" s="7" t="inlineStr">
        <is>
          <t>Metric</t>
        </is>
      </c>
      <c r="B18" s="7" t="inlineStr">
        <is>
          <t>Yesterday</t>
        </is>
      </c>
      <c r="C18" s="7" t="inlineStr">
        <is>
          <t>7-Day Avg</t>
        </is>
      </c>
      <c r="D18" s="7" t="inlineStr">
        <is>
          <t>Change vs Avg</t>
        </is>
      </c>
    </row>
    <row r="19">
      <c r="A19" s="6" t="inlineStr">
        <is>
          <t>Spend</t>
        </is>
      </c>
      <c r="B19" s="8">
        <f>INDEX('Meta Ads Daily Data'!B:B,COUNTA('Meta Ads Daily Data'!A:A))</f>
        <v/>
      </c>
      <c r="C19" s="8">
        <f>IFERROR(AVERAGE(OFFSET('Meta Ads Daily Data'!B1,COUNTA('Meta Ads Daily Data'!A:A)-8,0,7,1)),"n/a")</f>
        <v/>
      </c>
      <c r="D19" s="9">
        <f>IFERROR((B19-C19)/C19,"n/a")</f>
        <v/>
      </c>
    </row>
    <row r="20">
      <c r="A20" s="6" t="inlineStr">
        <is>
          <t>Purchases</t>
        </is>
      </c>
      <c r="B20" s="10">
        <f>INDEX('Meta Ads Daily Data'!I:I,COUNTA('Meta Ads Daily Data'!A:A))</f>
        <v/>
      </c>
      <c r="C20" s="10">
        <f>IFERROR(AVERAGE(OFFSET('Meta Ads Daily Data'!I1,COUNTA('Meta Ads Daily Data'!A:A)-8,0,7,1)),"n/a")</f>
        <v/>
      </c>
      <c r="D20" s="9">
        <f>IFERROR((B20-C20)/C20,"n/a")</f>
        <v/>
      </c>
    </row>
    <row r="21">
      <c r="A21" s="6" t="inlineStr">
        <is>
          <t>CPA</t>
        </is>
      </c>
      <c r="B21" s="8">
        <f>INDEX('Meta Ads Daily Data'!J:J,COUNTA('Meta Ads Daily Data'!A:A))</f>
        <v/>
      </c>
      <c r="C21" s="8">
        <f>IFERROR(AVERAGE(OFFSET('Meta Ads Daily Data'!J1,COUNTA('Meta Ads Daily Data'!A:A)-8,0,7,1)),"n/a")</f>
        <v/>
      </c>
      <c r="D21" s="9">
        <f>IFERROR((B21-C21)/C21,"n/a")</f>
        <v/>
      </c>
    </row>
    <row r="22">
      <c r="A22" s="6" t="inlineStr">
        <is>
          <t>ROAS</t>
        </is>
      </c>
      <c r="B22" s="11">
        <f>INDEX('Meta Ads Daily Data'!K:K,COUNTA('Meta Ads Daily Data'!A:A))</f>
        <v/>
      </c>
      <c r="C22" s="11">
        <f>IFERROR(AVERAGE(OFFSET('Meta Ads Daily Data'!K1,COUNTA('Meta Ads Daily Data'!A:A)-8,0,7,1)),"n/a")</f>
        <v/>
      </c>
      <c r="D22" s="9">
        <f>IFERROR((B22-C22)/C22,"n/a")</f>
        <v/>
      </c>
    </row>
    <row r="23">
      <c r="A23" s="6" t="inlineStr">
        <is>
          <t>CTR</t>
        </is>
      </c>
      <c r="B23" s="12">
        <f>INDEX('Meta Ads Daily Data'!F:F,COUNTA('Meta Ads Daily Data'!A:A))</f>
        <v/>
      </c>
      <c r="C23" s="12">
        <f>IFERROR(AVERAGE(OFFSET('Meta Ads Daily Data'!F1,COUNTA('Meta Ads Daily Data'!A:A)-8,0,7,1)),"n/a")</f>
        <v/>
      </c>
      <c r="D23" s="9">
        <f>IFERROR((B23-C23)/C23,"n/a")</f>
        <v/>
      </c>
    </row>
    <row r="24">
      <c r="A24" s="6" t="inlineStr">
        <is>
          <t>CPC</t>
        </is>
      </c>
      <c r="B24" s="8">
        <f>INDEX('Meta Ads Daily Data'!G:G,COUNTA('Meta Ads Daily Data'!A:A))</f>
        <v/>
      </c>
      <c r="C24" s="8">
        <f>IFERROR(AVERAGE(OFFSET('Meta Ads Daily Data'!G1,COUNTA('Meta Ads Daily Data'!A:A)-8,0,7,1)),"n/a")</f>
        <v/>
      </c>
      <c r="D24" s="9">
        <f>IFERROR((B24-C24)/C24,"n/a")</f>
        <v/>
      </c>
    </row>
    <row r="26">
      <c r="A26" s="4" t="inlineStr">
        <is>
          <t>KEY WINS</t>
        </is>
      </c>
      <c r="B26" s="5" t="n"/>
      <c r="C26" s="5" t="n"/>
      <c r="D26" s="5" t="n"/>
      <c r="E26" s="5" t="n"/>
      <c r="F26" s="5" t="n"/>
    </row>
    <row r="27">
      <c r="A27" t="inlineStr">
        <is>
          <t>•</t>
        </is>
      </c>
      <c r="B27" s="13" t="inlineStr">
        <is>
          <t>Campaign 'Retargeting- new' delivered ROAS 4.42x yesterday (its ad set 'Best performing ads' hit 5.51x) — a strong scale candidate.</t>
        </is>
      </c>
    </row>
    <row r="28">
      <c r="A28" t="inlineStr">
        <is>
          <t>•</t>
        </is>
      </c>
      <c r="B28" s="13" t="inlineStr">
        <is>
          <t>Ad efficiency improved: CPC down 17.2% and CPM down 12.2% vs the 7-day average.</t>
        </is>
      </c>
    </row>
    <row r="29">
      <c r="A29" t="inlineStr">
        <is>
          <t>•</t>
        </is>
      </c>
      <c r="B29" s="13" t="inlineStr">
        <is>
          <t>'Ira Rayon Co-ord Set' remains the top seller, ₹29,988 yesterday and ₹307,377 over the trailing 7 days.</t>
        </is>
      </c>
    </row>
    <row r="31">
      <c r="A31" s="4" t="inlineStr">
        <is>
          <t>KEY ISSUES</t>
        </is>
      </c>
      <c r="B31" s="5" t="n"/>
      <c r="C31" s="5" t="n"/>
      <c r="D31" s="5" t="n"/>
      <c r="E31" s="5" t="n"/>
      <c r="F31" s="5" t="n"/>
    </row>
    <row r="32">
      <c r="A32" t="inlineStr">
        <is>
          <t>•</t>
        </is>
      </c>
      <c r="B32" s="13" t="inlineStr">
        <is>
          <t>Gross sales fell 39.3% and orders fell 37.7% vs the 7-day average — the steepest single-day drop of the week.</t>
        </is>
      </c>
    </row>
    <row r="33">
      <c r="A33" t="inlineStr">
        <is>
          <t>•</t>
        </is>
      </c>
      <c r="B33" s="13" t="inlineStr">
        <is>
          <t>Meta purchases fell 41.0% and ROAS fell from 3.84x to 2.82x (-26.6%) while CPA rose 33.9% to ₹909.</t>
        </is>
      </c>
    </row>
    <row r="34">
      <c r="A34" t="inlineStr">
        <is>
          <t>•</t>
        </is>
      </c>
      <c r="B34" s="13" t="inlineStr">
        <is>
          <t>Ad set 'White Dhurandhar' is running at ROAS 0.95x — below breakeven.</t>
        </is>
      </c>
    </row>
    <row r="35">
      <c r="A35" t="inlineStr">
        <is>
          <t>•</t>
        </is>
      </c>
      <c r="B35" s="13" t="inlineStr">
        <is>
          <t>Ad set 'Black and multiple' was flagged by Meta for a narrow audience (~23K-27K reach).</t>
        </is>
      </c>
    </row>
    <row r="36">
      <c r="A36" t="inlineStr">
        <is>
          <t>•</t>
        </is>
      </c>
      <c r="B36" s="13" t="inlineStr">
        <is>
          <t>Shopify's checkout-completion tracking shows 0-1 sessions/day all week despite 41-87 real orders/day — looks like a tracking/pixel gap, not a real conversion problem.</t>
        </is>
      </c>
    </row>
    <row r="38">
      <c r="A38" s="4" t="inlineStr">
        <is>
          <t>RECOMMENDED ACTIONS FOR TODAY</t>
        </is>
      </c>
      <c r="B38" s="5" t="n"/>
      <c r="C38" s="5" t="n"/>
      <c r="D38" s="5" t="n"/>
      <c r="E38" s="5" t="n"/>
      <c r="F38" s="5" t="n"/>
    </row>
    <row r="39">
      <c r="A39" t="inlineStr">
        <is>
          <t>•</t>
        </is>
      </c>
      <c r="B39" s="13" t="inlineStr">
        <is>
          <t>1. Scale budget 20-30% on the 'Retargeting- new' campaign / 'Best performing ads' ad set given its 5.51x ROAS.</t>
        </is>
      </c>
    </row>
    <row r="40">
      <c r="A40" t="inlineStr">
        <is>
          <t>•</t>
        </is>
      </c>
      <c r="B40" s="13" t="inlineStr">
        <is>
          <t>2. Pause or refresh creative on the 'White Dhurandhar' ad set (ROAS 0.95x, below breakeven).</t>
        </is>
      </c>
    </row>
    <row r="41">
      <c r="A41" t="inlineStr">
        <is>
          <t>•</t>
        </is>
      </c>
      <c r="B41" s="13" t="inlineStr">
        <is>
          <t>3. Expand the audience (or test Advantage+ audience) on 'Black and multiple' to fix the narrow-audience warning.</t>
        </is>
      </c>
    </row>
    <row r="42">
      <c r="A42" t="inlineStr">
        <is>
          <t>•</t>
        </is>
      </c>
      <c r="B42" s="13" t="inlineStr">
        <is>
          <t>4. Investigate yesterday's steep order/revenue drop — check payment gateway status, site uptime, and ad delivery pacing together.</t>
        </is>
      </c>
    </row>
    <row r="43">
      <c r="A43" t="inlineStr">
        <is>
          <t>•</t>
        </is>
      </c>
      <c r="B43" s="13" t="inlineStr">
        <is>
          <t>5. Review Shopify's checkout/pixel tracking configuration — completed-checkout sessions do not reconcile with real order volume.</t>
        </is>
      </c>
    </row>
  </sheetData>
  <mergeCells count="24">
    <mergeCell ref="A17:D17"/>
    <mergeCell ref="A26:F26"/>
    <mergeCell ref="B27:F27"/>
    <mergeCell ref="A2:F2"/>
    <mergeCell ref="B43:F43"/>
    <mergeCell ref="A9:D9"/>
    <mergeCell ref="B39:F39"/>
    <mergeCell ref="A5:F5"/>
    <mergeCell ref="B42:F42"/>
    <mergeCell ref="A4:F4"/>
    <mergeCell ref="A38:F38"/>
    <mergeCell ref="B29:F29"/>
    <mergeCell ref="B34:F34"/>
    <mergeCell ref="B28:F28"/>
    <mergeCell ref="A31:F31"/>
    <mergeCell ref="B40:F40"/>
    <mergeCell ref="B33:F33"/>
    <mergeCell ref="A1:F1"/>
    <mergeCell ref="A6:F6"/>
    <mergeCell ref="B36:F36"/>
    <mergeCell ref="B32:F32"/>
    <mergeCell ref="B41:F41"/>
    <mergeCell ref="A7:F7"/>
    <mergeCell ref="B35:F35"/>
  </mergeCells>
  <conditionalFormatting sqref="D11:D1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19:D24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0" customWidth="1" min="4" max="4"/>
    <col width="11" customWidth="1" min="5" max="5"/>
    <col width="14" customWidth="1" min="6" max="6"/>
    <col width="12" customWidth="1" min="7" max="7"/>
    <col width="10" customWidth="1" min="8" max="8"/>
    <col width="11" customWidth="1" min="9" max="9"/>
    <col width="10" customWidth="1" min="10" max="10"/>
    <col width="11" customWidth="1" min="11" max="11"/>
    <col width="12" customWidth="1" min="12" max="12"/>
    <col width="19" customWidth="1" min="13" max="13"/>
    <col width="21" customWidth="1" min="14" max="14"/>
    <col width="18" customWidth="1" min="15" max="15"/>
  </cols>
  <sheetData>
    <row r="1">
      <c r="A1" s="7" t="inlineStr">
        <is>
          <t>Date</t>
        </is>
      </c>
      <c r="B1" s="7" t="inlineStr">
        <is>
          <t>Gross Sales</t>
        </is>
      </c>
      <c r="C1" s="7" t="inlineStr">
        <is>
          <t>Net Sales</t>
        </is>
      </c>
      <c r="D1" s="7" t="inlineStr">
        <is>
          <t>Orders</t>
        </is>
      </c>
      <c r="E1" s="7" t="inlineStr">
        <is>
          <t>AOV</t>
        </is>
      </c>
      <c r="F1" s="7" t="inlineStr">
        <is>
          <t>Total Sales</t>
        </is>
      </c>
      <c r="G1" s="7" t="inlineStr">
        <is>
          <t>Discounts</t>
        </is>
      </c>
      <c r="H1" s="7" t="inlineStr">
        <is>
          <t>Returns</t>
        </is>
      </c>
      <c r="I1" s="7" t="inlineStr">
        <is>
          <t>Shipping</t>
        </is>
      </c>
      <c r="J1" s="7" t="inlineStr">
        <is>
          <t>Taxes</t>
        </is>
      </c>
      <c r="K1" s="7" t="inlineStr">
        <is>
          <t>Sessions</t>
        </is>
      </c>
      <c r="L1" s="7" t="inlineStr">
        <is>
          <t>Cart Adds</t>
        </is>
      </c>
      <c r="M1" s="7" t="inlineStr">
        <is>
          <t>Reached Checkout</t>
        </is>
      </c>
      <c r="N1" s="7" t="inlineStr">
        <is>
          <t>Completed Checkout</t>
        </is>
      </c>
      <c r="O1" s="7" t="inlineStr">
        <is>
          <t>Conversion Rate</t>
        </is>
      </c>
    </row>
    <row r="2">
      <c r="A2" s="14" t="inlineStr">
        <is>
          <t>2026-07-11</t>
        </is>
      </c>
      <c r="B2" s="15" t="n">
        <v>130491</v>
      </c>
      <c r="C2" s="15" t="n">
        <v>128731.73</v>
      </c>
      <c r="D2" s="14" t="n">
        <v>55</v>
      </c>
      <c r="E2" s="15" t="n">
        <v>2340.576</v>
      </c>
      <c r="F2" s="15" t="n">
        <v>128731.73</v>
      </c>
      <c r="G2" s="15" t="n">
        <v>-1759.27</v>
      </c>
      <c r="H2" s="15" t="n">
        <v>0</v>
      </c>
      <c r="I2" s="15" t="n">
        <v>0</v>
      </c>
      <c r="J2" s="15" t="n">
        <v>0</v>
      </c>
      <c r="K2" s="14" t="n">
        <v>3221</v>
      </c>
      <c r="L2" s="14" t="n"/>
      <c r="M2" s="14" t="n">
        <v>2</v>
      </c>
      <c r="N2" s="14" t="n">
        <v>0</v>
      </c>
      <c r="O2" s="16" t="n"/>
    </row>
    <row r="3">
      <c r="A3" s="14" t="inlineStr">
        <is>
          <t>2026-07-12</t>
        </is>
      </c>
      <c r="B3" s="15" t="n">
        <v>269307.8</v>
      </c>
      <c r="C3" s="15" t="n">
        <v>221183.15</v>
      </c>
      <c r="D3" s="14" t="n">
        <v>87</v>
      </c>
      <c r="E3" s="15" t="n">
        <v>3085.84</v>
      </c>
      <c r="F3" s="15" t="n">
        <v>221564.35</v>
      </c>
      <c r="G3" s="15" t="n">
        <v>-839.65</v>
      </c>
      <c r="H3" s="15" t="n">
        <v>-47285</v>
      </c>
      <c r="I3" s="15" t="n">
        <v>0</v>
      </c>
      <c r="J3" s="15" t="n">
        <v>381.2</v>
      </c>
      <c r="K3" s="14" t="n">
        <v>3940</v>
      </c>
      <c r="L3" s="14" t="n"/>
      <c r="M3" s="14" t="n">
        <v>2</v>
      </c>
      <c r="N3" s="14" t="n">
        <v>1</v>
      </c>
      <c r="O3" s="16" t="n"/>
    </row>
    <row r="4">
      <c r="A4" s="14" t="inlineStr">
        <is>
          <t>2026-07-13</t>
        </is>
      </c>
      <c r="B4" s="15" t="n">
        <v>142333.07</v>
      </c>
      <c r="C4" s="15" t="n">
        <v>139227.38</v>
      </c>
      <c r="D4" s="14" t="n">
        <v>55</v>
      </c>
      <c r="E4" s="15" t="n">
        <v>2531.406</v>
      </c>
      <c r="F4" s="15" t="n">
        <v>139532.31</v>
      </c>
      <c r="G4" s="15" t="n">
        <v>-3105.69</v>
      </c>
      <c r="H4" s="15" t="n">
        <v>0</v>
      </c>
      <c r="I4" s="15" t="n">
        <v>0</v>
      </c>
      <c r="J4" s="15" t="n">
        <v>304.93</v>
      </c>
      <c r="K4" s="14" t="n">
        <v>3532</v>
      </c>
      <c r="L4" s="14" t="n"/>
      <c r="M4" s="14" t="n">
        <v>4</v>
      </c>
      <c r="N4" s="14" t="n">
        <v>1</v>
      </c>
      <c r="O4" s="16" t="n"/>
    </row>
    <row r="5">
      <c r="A5" s="14" t="inlineStr">
        <is>
          <t>2026-07-14</t>
        </is>
      </c>
      <c r="B5" s="15" t="n">
        <v>144836</v>
      </c>
      <c r="C5" s="15" t="n">
        <v>142522.15</v>
      </c>
      <c r="D5" s="14" t="n">
        <v>57</v>
      </c>
      <c r="E5" s="15" t="n">
        <v>2535.458</v>
      </c>
      <c r="F5" s="15" t="n">
        <v>142522.15</v>
      </c>
      <c r="G5" s="15" t="n">
        <v>-314.85</v>
      </c>
      <c r="H5" s="15" t="n">
        <v>-1999</v>
      </c>
      <c r="I5" s="15" t="n">
        <v>0</v>
      </c>
      <c r="J5" s="15" t="n">
        <v>0</v>
      </c>
      <c r="K5" s="14" t="n">
        <v>3564</v>
      </c>
      <c r="L5" s="14" t="n"/>
      <c r="M5" s="14" t="n">
        <v>2</v>
      </c>
      <c r="N5" s="14" t="n">
        <v>0</v>
      </c>
      <c r="O5" s="16" t="n"/>
    </row>
    <row r="6">
      <c r="A6" s="14" t="inlineStr">
        <is>
          <t>2026-07-15</t>
        </is>
      </c>
      <c r="B6" s="15" t="n">
        <v>166129</v>
      </c>
      <c r="C6" s="15" t="n">
        <v>165036.95</v>
      </c>
      <c r="D6" s="14" t="n">
        <v>64</v>
      </c>
      <c r="E6" s="15" t="n">
        <v>2578.702</v>
      </c>
      <c r="F6" s="15" t="n">
        <v>165036.95</v>
      </c>
      <c r="G6" s="15" t="n">
        <v>-1092.05</v>
      </c>
      <c r="H6" s="15" t="n">
        <v>0</v>
      </c>
      <c r="I6" s="15" t="n">
        <v>0</v>
      </c>
      <c r="J6" s="15" t="n">
        <v>0</v>
      </c>
      <c r="K6" s="14" t="n">
        <v>3815</v>
      </c>
      <c r="L6" s="14" t="n"/>
      <c r="M6" s="14" t="n">
        <v>1</v>
      </c>
      <c r="N6" s="14" t="n">
        <v>0</v>
      </c>
      <c r="O6" s="16" t="n"/>
    </row>
    <row r="7">
      <c r="A7" s="14" t="inlineStr">
        <is>
          <t>2026-07-16</t>
        </is>
      </c>
      <c r="B7" s="15" t="n">
        <v>172575</v>
      </c>
      <c r="C7" s="15" t="n">
        <v>169461.4</v>
      </c>
      <c r="D7" s="14" t="n">
        <v>69</v>
      </c>
      <c r="E7" s="15" t="n">
        <v>2487.831</v>
      </c>
      <c r="F7" s="15" t="n">
        <v>169461.4</v>
      </c>
      <c r="G7" s="15" t="n">
        <v>-914.6</v>
      </c>
      <c r="H7" s="15" t="n">
        <v>-2199</v>
      </c>
      <c r="I7" s="15" t="n">
        <v>0</v>
      </c>
      <c r="J7" s="15" t="n">
        <v>0</v>
      </c>
      <c r="K7" s="14" t="n">
        <v>4049</v>
      </c>
      <c r="L7" s="14" t="n"/>
      <c r="M7" s="14" t="n">
        <v>2</v>
      </c>
      <c r="N7" s="14" t="n">
        <v>0</v>
      </c>
      <c r="O7" s="16" t="n"/>
    </row>
    <row r="8">
      <c r="A8" s="14" t="inlineStr">
        <is>
          <t>2026-07-17</t>
        </is>
      </c>
      <c r="B8" s="15" t="n">
        <v>188169</v>
      </c>
      <c r="C8" s="15" t="n">
        <v>184317.76</v>
      </c>
      <c r="D8" s="14" t="n">
        <v>74</v>
      </c>
      <c r="E8" s="15" t="n">
        <v>2490.78</v>
      </c>
      <c r="F8" s="15" t="n">
        <v>184317.76</v>
      </c>
      <c r="G8" s="15" t="n">
        <v>-3851.24</v>
      </c>
      <c r="H8" s="15" t="n">
        <v>0</v>
      </c>
      <c r="I8" s="15" t="n">
        <v>0</v>
      </c>
      <c r="J8" s="15" t="n">
        <v>0</v>
      </c>
      <c r="K8" s="14" t="n">
        <v>4890</v>
      </c>
      <c r="L8" s="14" t="n"/>
      <c r="M8" s="14" t="n">
        <v>2</v>
      </c>
      <c r="N8" s="14" t="n">
        <v>0</v>
      </c>
      <c r="O8" s="16" t="n"/>
    </row>
    <row r="9">
      <c r="A9" s="14" t="inlineStr">
        <is>
          <t>2026-07-18</t>
        </is>
      </c>
      <c r="B9" s="15" t="n">
        <v>105255</v>
      </c>
      <c r="C9" s="15" t="n">
        <v>105155.05</v>
      </c>
      <c r="D9" s="14" t="n">
        <v>41</v>
      </c>
      <c r="E9" s="15" t="n">
        <v>2564.757</v>
      </c>
      <c r="F9" s="15" t="n">
        <v>105155.05</v>
      </c>
      <c r="G9" s="15" t="n">
        <v>-99.95</v>
      </c>
      <c r="H9" s="15" t="n">
        <v>0</v>
      </c>
      <c r="I9" s="15" t="n">
        <v>0</v>
      </c>
      <c r="J9" s="15" t="n">
        <v>0</v>
      </c>
      <c r="K9" s="14" t="n">
        <v>3695</v>
      </c>
      <c r="L9" s="14" t="n">
        <v>223</v>
      </c>
      <c r="M9" s="14" t="n">
        <v>1</v>
      </c>
      <c r="N9" s="14" t="n">
        <v>0</v>
      </c>
      <c r="O9" s="16" t="n">
        <v>0</v>
      </c>
    </row>
  </sheetData>
  <autoFilter ref="A1:O9"/>
  <conditionalFormatting sqref="H2:H9">
    <cfRule type="cellIs" priority="1" operator="lessThan" dxfId="1">
      <formula>-20000</formula>
    </cfRule>
  </conditionalFormatting>
  <conditionalFormatting sqref="D2:D9">
    <cfRule type="colorScale" priority="2">
      <colorScale>
        <cfvo type="min"/>
        <cfvo type="percentile" val="50"/>
        <cfvo type="max"/>
        <color rgb="00F5B6B6"/>
        <color rgb="00FFF3CC"/>
        <color rgb="00C6E8C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0" customWidth="1" min="4" max="4"/>
    <col width="10" customWidth="1" min="5" max="5"/>
    <col width="23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>
      <c r="A1" s="7" t="inlineStr">
        <is>
          <t>Date</t>
        </is>
      </c>
      <c r="B1" s="7" t="inlineStr">
        <is>
          <t>Spend</t>
        </is>
      </c>
      <c r="C1" s="7" t="inlineStr">
        <is>
          <t>Impressions</t>
        </is>
      </c>
      <c r="D1" s="7" t="inlineStr">
        <is>
          <t>Reach</t>
        </is>
      </c>
      <c r="E1" s="7" t="inlineStr">
        <is>
          <t>Clicks</t>
        </is>
      </c>
      <c r="F1" s="7" t="inlineStr">
        <is>
          <t>CTR</t>
        </is>
      </c>
      <c r="G1" s="7" t="inlineStr">
        <is>
          <t>CPC</t>
        </is>
      </c>
      <c r="H1" s="7" t="inlineStr">
        <is>
          <t>CPM</t>
        </is>
      </c>
      <c r="I1" s="7" t="inlineStr">
        <is>
          <t>Purchases</t>
        </is>
      </c>
      <c r="J1" s="7" t="inlineStr">
        <is>
          <t>CPA</t>
        </is>
      </c>
      <c r="K1" s="7" t="inlineStr">
        <is>
          <t>ROAS</t>
        </is>
      </c>
    </row>
    <row r="2">
      <c r="A2" s="14" t="inlineStr">
        <is>
          <t>2026-07-11</t>
        </is>
      </c>
      <c r="B2" s="15" t="n">
        <v>35653.1</v>
      </c>
      <c r="C2" s="14" t="n">
        <v>216060</v>
      </c>
      <c r="D2" s="14" t="n">
        <v>180186</v>
      </c>
      <c r="E2" s="14" t="n">
        <v>4684</v>
      </c>
      <c r="F2" s="16" t="n">
        <v>0.0217</v>
      </c>
      <c r="G2" s="15" t="n">
        <v>7.61</v>
      </c>
      <c r="H2" s="15" t="n">
        <v>165.01</v>
      </c>
      <c r="I2" s="14" t="n">
        <v>53</v>
      </c>
      <c r="J2" s="15" t="n">
        <v>672.7</v>
      </c>
      <c r="K2" s="17" t="n">
        <v>3.49</v>
      </c>
    </row>
    <row r="3">
      <c r="A3" s="14" t="inlineStr">
        <is>
          <t>2026-07-12</t>
        </is>
      </c>
      <c r="B3" s="15" t="n">
        <v>47584.42</v>
      </c>
      <c r="C3" s="14" t="n">
        <v>259228</v>
      </c>
      <c r="D3" s="14" t="n">
        <v>214990</v>
      </c>
      <c r="E3" s="14" t="n">
        <v>5765</v>
      </c>
      <c r="F3" s="16" t="n">
        <v>0.0222</v>
      </c>
      <c r="G3" s="15" t="n">
        <v>8.25</v>
      </c>
      <c r="H3" s="15" t="n">
        <v>183.56</v>
      </c>
      <c r="I3" s="14" t="n">
        <v>84</v>
      </c>
      <c r="J3" s="15" t="n">
        <v>566.48</v>
      </c>
      <c r="K3" s="17" t="n">
        <v>5.45</v>
      </c>
    </row>
    <row r="4">
      <c r="A4" s="14" t="inlineStr">
        <is>
          <t>2026-07-13</t>
        </is>
      </c>
      <c r="B4" s="15" t="n">
        <v>45884.99</v>
      </c>
      <c r="C4" s="14" t="n">
        <v>236170</v>
      </c>
      <c r="D4" s="14" t="n">
        <v>184417</v>
      </c>
      <c r="E4" s="14" t="n">
        <v>5178</v>
      </c>
      <c r="F4" s="16" t="n">
        <v>0.0219</v>
      </c>
      <c r="G4" s="15" t="n">
        <v>8.859999999999999</v>
      </c>
      <c r="H4" s="15" t="n">
        <v>194.29</v>
      </c>
      <c r="I4" s="14" t="n">
        <v>54</v>
      </c>
      <c r="J4" s="15" t="n">
        <v>849.72</v>
      </c>
      <c r="K4" s="17" t="n">
        <v>3</v>
      </c>
    </row>
    <row r="5">
      <c r="A5" s="14" t="inlineStr">
        <is>
          <t>2026-07-14</t>
        </is>
      </c>
      <c r="B5" s="15" t="n">
        <v>44951.34</v>
      </c>
      <c r="C5" s="14" t="n">
        <v>232320</v>
      </c>
      <c r="D5" s="14" t="n">
        <v>189826</v>
      </c>
      <c r="E5" s="14" t="n">
        <v>5440</v>
      </c>
      <c r="F5" s="16" t="n">
        <v>0.0234</v>
      </c>
      <c r="G5" s="15" t="n">
        <v>8.26</v>
      </c>
      <c r="H5" s="15" t="n">
        <v>193.49</v>
      </c>
      <c r="I5" s="14" t="n">
        <v>57</v>
      </c>
      <c r="J5" s="15" t="n">
        <v>788.62</v>
      </c>
      <c r="K5" s="17" t="n">
        <v>3.17</v>
      </c>
    </row>
    <row r="6">
      <c r="A6" s="14" t="inlineStr">
        <is>
          <t>2026-07-15</t>
        </is>
      </c>
      <c r="B6" s="15" t="n">
        <v>43931.17</v>
      </c>
      <c r="C6" s="14" t="n">
        <v>254112</v>
      </c>
      <c r="D6" s="14" t="n">
        <v>199911</v>
      </c>
      <c r="E6" s="14" t="n">
        <v>6195</v>
      </c>
      <c r="F6" s="16" t="n">
        <v>0.0244</v>
      </c>
      <c r="G6" s="15" t="n">
        <v>7.09</v>
      </c>
      <c r="H6" s="15" t="n">
        <v>172.88</v>
      </c>
      <c r="I6" s="14" t="n">
        <v>61</v>
      </c>
      <c r="J6" s="15" t="n">
        <v>720.1799999999999</v>
      </c>
      <c r="K6" s="17" t="n">
        <v>3.62</v>
      </c>
    </row>
    <row r="7">
      <c r="A7" s="14" t="inlineStr">
        <is>
          <t>2026-07-16</t>
        </is>
      </c>
      <c r="B7" s="15" t="n">
        <v>43468.39</v>
      </c>
      <c r="C7" s="14" t="n">
        <v>279467</v>
      </c>
      <c r="D7" s="14" t="n">
        <v>216156</v>
      </c>
      <c r="E7" s="14" t="n">
        <v>6412</v>
      </c>
      <c r="F7" s="16" t="n">
        <v>0.0229</v>
      </c>
      <c r="G7" s="15" t="n">
        <v>6.78</v>
      </c>
      <c r="H7" s="15" t="n">
        <v>155.54</v>
      </c>
      <c r="I7" s="14" t="n">
        <v>69</v>
      </c>
      <c r="J7" s="15" t="n">
        <v>629.98</v>
      </c>
      <c r="K7" s="17" t="n">
        <v>3.94</v>
      </c>
    </row>
    <row r="8">
      <c r="A8" s="14" t="inlineStr">
        <is>
          <t>2026-07-17</t>
        </is>
      </c>
      <c r="B8" s="15" t="n">
        <v>44911.73</v>
      </c>
      <c r="C8" s="14" t="n">
        <v>340954</v>
      </c>
      <c r="D8" s="14" t="n">
        <v>263644</v>
      </c>
      <c r="E8" s="14" t="n">
        <v>7625</v>
      </c>
      <c r="F8" s="16" t="n">
        <v>0.0224</v>
      </c>
      <c r="G8" s="15" t="n">
        <v>5.89</v>
      </c>
      <c r="H8" s="15" t="n">
        <v>131.72</v>
      </c>
      <c r="I8" s="14" t="n">
        <v>73</v>
      </c>
      <c r="J8" s="15" t="n">
        <v>615.23</v>
      </c>
      <c r="K8" s="17" t="n">
        <v>4.06</v>
      </c>
    </row>
    <row r="9">
      <c r="A9" s="14" t="inlineStr">
        <is>
          <t>2026-07-18</t>
        </is>
      </c>
      <c r="B9" s="15" t="n">
        <v>34547.04</v>
      </c>
      <c r="C9" s="14" t="n">
        <v>233531</v>
      </c>
      <c r="D9" s="14" t="n">
        <v>185932</v>
      </c>
      <c r="E9" s="14" t="n">
        <v>5627</v>
      </c>
      <c r="F9" s="16" t="n">
        <v>0.0241</v>
      </c>
      <c r="G9" s="15" t="n">
        <v>6.14</v>
      </c>
      <c r="H9" s="15" t="n">
        <v>147.93</v>
      </c>
      <c r="I9" s="14" t="n">
        <v>38</v>
      </c>
      <c r="J9" s="15" t="n">
        <v>909.13</v>
      </c>
      <c r="K9" s="17" t="n">
        <v>2.82</v>
      </c>
    </row>
  </sheetData>
  <autoFilter ref="A1:K9"/>
  <conditionalFormatting sqref="K2:K9">
    <cfRule type="cellIs" priority="1" operator="lessThan" dxfId="1">
      <formula>1.5</formula>
    </cfRule>
    <cfRule type="cellIs" priority="2" operator="between" dxfId="2">
      <formula>1.5</formula>
      <formula>3</formula>
    </cfRule>
    <cfRule type="cellIs" priority="3" operator="greaterThan" dxfId="0">
      <formula>3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8" t="inlineStr">
        <is>
          <t>PRODUCT PERFORMANCE — Yesterday (2026-07-18) vs Trailing 7 Days</t>
        </is>
      </c>
      <c r="B1" s="2" t="n"/>
      <c r="C1" s="2" t="n"/>
      <c r="D1" s="2" t="n"/>
      <c r="E1" s="2" t="n"/>
    </row>
    <row r="2"/>
    <row r="3">
      <c r="A3" s="7" t="inlineStr">
        <is>
          <t>Product</t>
        </is>
      </c>
      <c r="B3" s="7" t="inlineStr">
        <is>
          <t>Gross Sales</t>
        </is>
      </c>
      <c r="C3" s="7" t="inlineStr">
        <is>
          <t>Net Sales</t>
        </is>
      </c>
      <c r="D3" s="7" t="inlineStr">
        <is>
          <t>Orders</t>
        </is>
      </c>
      <c r="E3" s="7" t="inlineStr">
        <is>
          <t>Total Sales</t>
        </is>
      </c>
    </row>
    <row r="4">
      <c r="A4" s="14" t="inlineStr">
        <is>
          <t>Ira Rayon Co-ord Set for Women | Relaxed Fit Shirt Top with Draped Pants</t>
        </is>
      </c>
      <c r="B4" s="15" t="n">
        <v>29988</v>
      </c>
      <c r="C4" s="15" t="n">
        <v>29988</v>
      </c>
      <c r="D4" s="14" t="n">
        <v>12</v>
      </c>
      <c r="E4" s="15" t="n">
        <v>29988</v>
      </c>
    </row>
    <row r="5">
      <c r="A5" s="14" t="inlineStr">
        <is>
          <t>"The Essential" - White Cotton Shirt &amp; Pant Co-ord Set</t>
        </is>
      </c>
      <c r="B5" s="15" t="n">
        <v>18191</v>
      </c>
      <c r="C5" s="15" t="n">
        <v>18091.05</v>
      </c>
      <c r="D5" s="14" t="n">
        <v>9</v>
      </c>
      <c r="E5" s="15" t="n">
        <v>18091.05</v>
      </c>
    </row>
    <row r="6">
      <c r="A6" s="14" t="inlineStr">
        <is>
          <t>Everyday Elegance Cotton Kurta Pant Set</t>
        </is>
      </c>
      <c r="B6" s="15" t="n">
        <v>7996</v>
      </c>
      <c r="C6" s="15" t="n">
        <v>7996</v>
      </c>
      <c r="D6" s="14" t="n">
        <v>3</v>
      </c>
      <c r="E6" s="15" t="n">
        <v>7996</v>
      </c>
    </row>
    <row r="7">
      <c r="A7" s="14" t="inlineStr">
        <is>
          <t>Noor Sand Kurta Set</t>
        </is>
      </c>
      <c r="B7" s="15" t="n">
        <v>6998</v>
      </c>
      <c r="C7" s="15" t="n">
        <v>6998</v>
      </c>
      <c r="D7" s="14" t="n">
        <v>2</v>
      </c>
      <c r="E7" s="15" t="n">
        <v>6998</v>
      </c>
    </row>
    <row r="8">
      <c r="A8" s="14" t="inlineStr">
        <is>
          <t>"Inayat" - Power Pastel Cotton Shirt &amp; Trouser Co-ord Set</t>
        </is>
      </c>
      <c r="B8" s="15" t="n">
        <v>5997</v>
      </c>
      <c r="C8" s="15" t="n">
        <v>5997</v>
      </c>
      <c r="D8" s="14" t="n">
        <v>3</v>
      </c>
      <c r="E8" s="15" t="n">
        <v>5997</v>
      </c>
    </row>
    <row r="9">
      <c r="A9" s="14" t="inlineStr">
        <is>
          <t>Elegant Pakistani-Style Mauve Kurta Set</t>
        </is>
      </c>
      <c r="B9" s="15" t="n">
        <v>3998</v>
      </c>
      <c r="C9" s="15" t="n">
        <v>3998</v>
      </c>
      <c r="D9" s="14" t="n">
        <v>2</v>
      </c>
      <c r="E9" s="15" t="n">
        <v>3998</v>
      </c>
    </row>
    <row r="10">
      <c r="A10" s="14" t="inlineStr">
        <is>
          <t>Vidhya Georgette Suit Set</t>
        </is>
      </c>
      <c r="B10" s="15" t="n">
        <v>3499</v>
      </c>
      <c r="C10" s="15" t="n">
        <v>3499</v>
      </c>
      <c r="D10" s="14" t="n">
        <v>1</v>
      </c>
      <c r="E10" s="15" t="n">
        <v>3499</v>
      </c>
    </row>
    <row r="11">
      <c r="A11" s="14" t="inlineStr">
        <is>
          <t>"Aura" - Cream Lightweight Breathable Lace-Detail Suit Set</t>
        </is>
      </c>
      <c r="B11" s="15" t="n">
        <v>3299</v>
      </c>
      <c r="C11" s="15" t="n">
        <v>3299</v>
      </c>
      <c r="D11" s="14" t="n">
        <v>1</v>
      </c>
      <c r="E11" s="15" t="n">
        <v>3299</v>
      </c>
    </row>
    <row r="12">
      <c r="A12" s="14" t="inlineStr">
        <is>
          <t>"Gaja" - Handblock Print Cotton Co-ord Set</t>
        </is>
      </c>
      <c r="B12" s="15" t="n">
        <v>2799</v>
      </c>
      <c r="C12" s="15" t="n">
        <v>2799</v>
      </c>
      <c r="D12" s="14" t="n">
        <v>1</v>
      </c>
      <c r="E12" s="15" t="n">
        <v>2799</v>
      </c>
    </row>
    <row r="13">
      <c r="A13" s="14" t="inlineStr">
        <is>
          <t>Embroidered Rayon Kurti with Farshi Salwar Set - Elegant Ethnic Co-Ord for Women</t>
        </is>
      </c>
      <c r="B13" s="15" t="n">
        <v>2799</v>
      </c>
      <c r="C13" s="15" t="n">
        <v>2799</v>
      </c>
      <c r="D13" s="14" t="n">
        <v>1</v>
      </c>
      <c r="E13" s="15" t="n">
        <v>2799</v>
      </c>
    </row>
    <row r="14"/>
    <row r="15">
      <c r="A15" s="4" t="inlineStr">
        <is>
          <t>7-DAY TOP PRODUCTS (2026-07-11 to 2026-07-17)</t>
        </is>
      </c>
      <c r="B15" s="5" t="n"/>
      <c r="C15" s="5" t="n"/>
      <c r="D15" s="5" t="n"/>
      <c r="E15" s="5" t="n"/>
    </row>
    <row r="16">
      <c r="A16" s="7" t="inlineStr">
        <is>
          <t>Product</t>
        </is>
      </c>
      <c r="B16" s="7" t="inlineStr">
        <is>
          <t>Gross Sales</t>
        </is>
      </c>
      <c r="C16" s="7" t="inlineStr">
        <is>
          <t>Net Sales</t>
        </is>
      </c>
      <c r="D16" s="7" t="inlineStr">
        <is>
          <t>Orders</t>
        </is>
      </c>
      <c r="E16" s="7" t="inlineStr">
        <is>
          <t>Total Sales</t>
        </is>
      </c>
    </row>
    <row r="17">
      <c r="A17" s="14" t="inlineStr">
        <is>
          <t>Ira Rayon Co-ord Set for Women | Relaxed Fit Shirt Top with Draped Pants</t>
        </is>
      </c>
      <c r="B17" s="15" t="n">
        <v>307377</v>
      </c>
      <c r="C17" s="15" t="n">
        <v>305212.87</v>
      </c>
      <c r="D17" s="14" t="n">
        <v>114</v>
      </c>
      <c r="E17" s="15" t="n">
        <v>305212.87</v>
      </c>
    </row>
    <row r="18">
      <c r="A18" s="14" t="inlineStr">
        <is>
          <t>"The Essential" - White Cotton Shirt &amp; Pant Co-ord Set</t>
        </is>
      </c>
      <c r="B18" s="15" t="n">
        <v>233585</v>
      </c>
      <c r="C18" s="15" t="n">
        <v>230981.2</v>
      </c>
      <c r="D18" s="14" t="n">
        <v>110</v>
      </c>
      <c r="E18" s="15" t="n">
        <v>230981.2</v>
      </c>
    </row>
    <row r="19">
      <c r="A19" s="14" t="inlineStr">
        <is>
          <t>The Dhurandhar Black Short Kurta Set | A Dhirai Essential</t>
        </is>
      </c>
      <c r="B19" s="15" t="n">
        <v>56825</v>
      </c>
      <c r="C19" s="15" t="n">
        <v>54565.93</v>
      </c>
      <c r="D19" s="14" t="n">
        <v>21</v>
      </c>
      <c r="E19" s="15" t="n">
        <v>54565.93</v>
      </c>
    </row>
    <row r="20">
      <c r="A20" s="14" t="inlineStr">
        <is>
          <t>Embroidered Rayon Kurti with Farshi Salwar Set - Elegant Ethnic Co-Ord for Women</t>
        </is>
      </c>
      <c r="B20" s="15" t="n">
        <v>41985</v>
      </c>
      <c r="C20" s="15" t="n">
        <v>41565.15</v>
      </c>
      <c r="D20" s="14" t="n">
        <v>15</v>
      </c>
      <c r="E20" s="15" t="n">
        <v>41565.15</v>
      </c>
    </row>
    <row r="21">
      <c r="A21" s="14" t="inlineStr">
        <is>
          <t>"Inayat" - Power Pastel Cotton Shirt &amp; Trouser Co-ord Set</t>
        </is>
      </c>
      <c r="B21" s="15" t="n">
        <v>41979</v>
      </c>
      <c r="C21" s="15" t="n">
        <v>41779.1</v>
      </c>
      <c r="D21" s="14" t="n">
        <v>20</v>
      </c>
      <c r="E21" s="15" t="n">
        <v>41779.1</v>
      </c>
    </row>
    <row r="22">
      <c r="A22" s="14" t="inlineStr">
        <is>
          <t>Elegant Pakistani-Style Mauve Kurta Set</t>
        </is>
      </c>
      <c r="B22" s="15" t="n">
        <v>39975.07</v>
      </c>
      <c r="C22" s="15" t="n">
        <v>37976.07</v>
      </c>
      <c r="D22" s="14" t="n">
        <v>20</v>
      </c>
      <c r="E22" s="15" t="n">
        <v>38281</v>
      </c>
    </row>
    <row r="23">
      <c r="A23" s="14" t="inlineStr">
        <is>
          <t>"Riva" - Premium Flowy Rayon Co-ord Set</t>
        </is>
      </c>
      <c r="B23" s="15" t="n">
        <v>32384</v>
      </c>
      <c r="C23" s="15" t="n">
        <v>32384</v>
      </c>
      <c r="D23" s="14" t="n">
        <v>15</v>
      </c>
      <c r="E23" s="15" t="n">
        <v>32384</v>
      </c>
    </row>
    <row r="24">
      <c r="A24" s="14" t="inlineStr">
        <is>
          <t>Eclipse Grace Premium Crepe Salwar Suit set | DHIRAI</t>
        </is>
      </c>
      <c r="B24" s="15" t="n">
        <v>26991</v>
      </c>
      <c r="C24" s="15" t="n">
        <v>26991</v>
      </c>
      <c r="D24" s="14" t="n">
        <v>8</v>
      </c>
      <c r="E24" s="15" t="n">
        <v>26991</v>
      </c>
    </row>
    <row r="25">
      <c r="A25" s="14" t="inlineStr">
        <is>
          <t>Everyday Elegance Cotton Kurta Pant Set</t>
        </is>
      </c>
      <c r="B25" s="15" t="n">
        <v>25987</v>
      </c>
      <c r="C25" s="15" t="n">
        <v>23356.32</v>
      </c>
      <c r="D25" s="14" t="n">
        <v>13</v>
      </c>
      <c r="E25" s="15" t="n">
        <v>23356.32</v>
      </c>
    </row>
    <row r="26">
      <c r="A26" s="14" t="inlineStr">
        <is>
          <t>"Aina" - Ivory Breathable Cotton Mirror Work Coord Set</t>
        </is>
      </c>
      <c r="B26" s="15" t="n">
        <v>19794</v>
      </c>
      <c r="C26" s="15" t="n">
        <v>0</v>
      </c>
      <c r="D26" s="14" t="n">
        <v>3</v>
      </c>
      <c r="E26" s="15" t="n">
        <v>0</v>
      </c>
    </row>
  </sheetData>
  <autoFilter ref="A3:E13"/>
  <mergeCells count="2">
    <mergeCell ref="A15:E15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11" customWidth="1" min="3" max="3"/>
    <col width="14" customWidth="1" min="4" max="4"/>
    <col width="10" customWidth="1" min="5" max="5"/>
    <col width="10" customWidth="1" min="6" max="6"/>
    <col width="23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</cols>
  <sheetData>
    <row r="1">
      <c r="A1" s="18" t="inlineStr">
        <is>
          <t>META ADS — CAMPAIGN &amp; AD SET PERFORMANCE (2026-07-18)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/>
    <row r="3">
      <c r="A3" s="7" t="inlineStr">
        <is>
          <t>Campaign</t>
        </is>
      </c>
      <c r="B3" s="7" t="inlineStr">
        <is>
          <t>Status</t>
        </is>
      </c>
      <c r="C3" s="7" t="inlineStr">
        <is>
          <t>Spend</t>
        </is>
      </c>
      <c r="D3" s="7" t="inlineStr">
        <is>
          <t>Impressions</t>
        </is>
      </c>
      <c r="E3" s="7" t="inlineStr">
        <is>
          <t>Reach</t>
        </is>
      </c>
      <c r="F3" s="7" t="inlineStr">
        <is>
          <t>Clicks</t>
        </is>
      </c>
      <c r="G3" s="7" t="inlineStr">
        <is>
          <t>CTR</t>
        </is>
      </c>
      <c r="H3" s="7" t="inlineStr">
        <is>
          <t>CPC</t>
        </is>
      </c>
      <c r="I3" s="7" t="inlineStr">
        <is>
          <t>CPM</t>
        </is>
      </c>
      <c r="J3" s="7" t="inlineStr">
        <is>
          <t>Purchases</t>
        </is>
      </c>
      <c r="K3" s="7" t="inlineStr">
        <is>
          <t>CPA</t>
        </is>
      </c>
      <c r="L3" s="7" t="inlineStr">
        <is>
          <t>ROAS</t>
        </is>
      </c>
    </row>
    <row r="4">
      <c r="A4" s="14" t="inlineStr">
        <is>
          <t>Dhirai Scale -ASC</t>
        </is>
      </c>
      <c r="B4" s="14" t="inlineStr">
        <is>
          <t>ACTIVE</t>
        </is>
      </c>
      <c r="C4" s="15" t="n">
        <v>11206.13</v>
      </c>
      <c r="D4" s="14" t="n">
        <v>63719</v>
      </c>
      <c r="E4" s="14" t="n">
        <v>55244</v>
      </c>
      <c r="F4" s="14" t="n">
        <v>2065</v>
      </c>
      <c r="G4" s="16" t="n">
        <v>0.03240000000000001</v>
      </c>
      <c r="H4" s="15" t="n">
        <v>5.43</v>
      </c>
      <c r="I4" s="15" t="n">
        <v>175.87</v>
      </c>
      <c r="J4" s="14" t="n">
        <v>13</v>
      </c>
      <c r="K4" s="15" t="n">
        <v>862.01</v>
      </c>
      <c r="L4" s="17" t="n">
        <v>2.66</v>
      </c>
    </row>
    <row r="5">
      <c r="A5" s="14" t="inlineStr">
        <is>
          <t>New Campaign- for recovery</t>
        </is>
      </c>
      <c r="B5" s="14" t="inlineStr">
        <is>
          <t>ACTIVE</t>
        </is>
      </c>
      <c r="C5" s="15" t="n">
        <v>10411.94</v>
      </c>
      <c r="D5" s="14" t="n">
        <v>108513</v>
      </c>
      <c r="E5" s="14" t="n">
        <v>94459</v>
      </c>
      <c r="F5" s="14" t="n">
        <v>1246</v>
      </c>
      <c r="G5" s="16" t="n">
        <v>0.0115</v>
      </c>
      <c r="H5" s="15" t="n">
        <v>8.359999999999999</v>
      </c>
      <c r="I5" s="15" t="n">
        <v>95.95</v>
      </c>
      <c r="J5" s="14" t="n">
        <v>11</v>
      </c>
      <c r="K5" s="15" t="n">
        <v>946.54</v>
      </c>
      <c r="L5" s="17" t="n">
        <v>2.59</v>
      </c>
    </row>
    <row r="6">
      <c r="A6" s="14" t="inlineStr">
        <is>
          <t>Black DHURANDHAR</t>
        </is>
      </c>
      <c r="B6" s="14" t="inlineStr">
        <is>
          <t>ACTIVE</t>
        </is>
      </c>
      <c r="C6" s="15" t="n">
        <v>6623.22</v>
      </c>
      <c r="D6" s="14" t="n">
        <v>40540</v>
      </c>
      <c r="E6" s="14" t="n">
        <v>35669</v>
      </c>
      <c r="F6" s="14" t="n">
        <v>1513</v>
      </c>
      <c r="G6" s="16" t="n">
        <v>0.0373</v>
      </c>
      <c r="H6" s="15" t="n">
        <v>4.38</v>
      </c>
      <c r="I6" s="15" t="n">
        <v>163.37</v>
      </c>
      <c r="J6" s="14" t="n">
        <v>6</v>
      </c>
      <c r="K6" s="15" t="n">
        <v>1103.87</v>
      </c>
      <c r="L6" s="17" t="n">
        <v>1.9</v>
      </c>
    </row>
    <row r="7">
      <c r="A7" s="14" t="inlineStr">
        <is>
          <t>Retargeting- new</t>
        </is>
      </c>
      <c r="B7" s="14" t="inlineStr">
        <is>
          <t>ACTIVE</t>
        </is>
      </c>
      <c r="C7" s="15" t="n">
        <v>6305.75</v>
      </c>
      <c r="D7" s="14" t="n">
        <v>20759</v>
      </c>
      <c r="E7" s="14" t="n">
        <v>13594</v>
      </c>
      <c r="F7" s="14" t="n">
        <v>803</v>
      </c>
      <c r="G7" s="16" t="n">
        <v>0.0387</v>
      </c>
      <c r="H7" s="15" t="n">
        <v>7.85</v>
      </c>
      <c r="I7" s="15" t="n">
        <v>303.76</v>
      </c>
      <c r="J7" s="14" t="n">
        <v>8</v>
      </c>
      <c r="K7" s="15" t="n">
        <v>788.22</v>
      </c>
      <c r="L7" s="17" t="n">
        <v>4.42</v>
      </c>
    </row>
    <row r="8"/>
    <row r="9">
      <c r="A9" s="4" t="inlineStr">
        <is>
          <t>AD SET LEVEL PERFORMANCE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7" t="inlineStr">
        <is>
          <t>Ad Set</t>
        </is>
      </c>
      <c r="B10" s="7" t="inlineStr">
        <is>
          <t>Campaign</t>
        </is>
      </c>
      <c r="C10" s="7" t="inlineStr">
        <is>
          <t>Spend</t>
        </is>
      </c>
      <c r="D10" s="7" t="inlineStr">
        <is>
          <t>Impressions</t>
        </is>
      </c>
      <c r="E10" s="7" t="inlineStr">
        <is>
          <t>Reach</t>
        </is>
      </c>
      <c r="F10" s="7" t="inlineStr">
        <is>
          <t>Clicks</t>
        </is>
      </c>
      <c r="G10" s="7" t="inlineStr">
        <is>
          <t>CTR</t>
        </is>
      </c>
      <c r="H10" s="7" t="inlineStr">
        <is>
          <t>CPC</t>
        </is>
      </c>
      <c r="I10" s="7" t="inlineStr">
        <is>
          <t>CPM</t>
        </is>
      </c>
      <c r="J10" s="7" t="inlineStr">
        <is>
          <t>Purchases</t>
        </is>
      </c>
      <c r="K10" s="7" t="inlineStr">
        <is>
          <t>CPA</t>
        </is>
      </c>
      <c r="L10" s="7" t="inlineStr">
        <is>
          <t>ROAS</t>
        </is>
      </c>
    </row>
    <row r="11">
      <c r="A11" s="14" t="inlineStr">
        <is>
          <t>New Sales Ad Set</t>
        </is>
      </c>
      <c r="B11" s="14" t="inlineStr">
        <is>
          <t>Dhirai Scale -ASC</t>
        </is>
      </c>
      <c r="C11" s="15" t="n">
        <v>10889.29</v>
      </c>
      <c r="D11" s="14" t="n">
        <v>62604</v>
      </c>
      <c r="E11" s="14" t="n">
        <v>54421</v>
      </c>
      <c r="F11" s="14" t="n">
        <v>2018</v>
      </c>
      <c r="G11" s="16" t="n">
        <v>0.0322</v>
      </c>
      <c r="H11" s="15" t="n">
        <v>5.4</v>
      </c>
      <c r="I11" s="15" t="n">
        <v>173.94</v>
      </c>
      <c r="J11" s="14" t="n">
        <v>13</v>
      </c>
      <c r="K11" s="15" t="n">
        <v>837.64</v>
      </c>
      <c r="L11" s="17" t="n">
        <v>2.74</v>
      </c>
    </row>
    <row r="12">
      <c r="A12" s="14" t="inlineStr">
        <is>
          <t>Rayon</t>
        </is>
      </c>
      <c r="B12" s="14" t="inlineStr">
        <is>
          <t>New Campaign- for recovery</t>
        </is>
      </c>
      <c r="C12" s="15" t="n">
        <v>8257.58</v>
      </c>
      <c r="D12" s="14" t="n">
        <v>96197</v>
      </c>
      <c r="E12" s="14" t="n">
        <v>83913</v>
      </c>
      <c r="F12" s="14" t="n">
        <v>1065</v>
      </c>
      <c r="G12" s="16" t="n">
        <v>0.0111</v>
      </c>
      <c r="H12" s="15" t="n">
        <v>7.75</v>
      </c>
      <c r="I12" s="15" t="n">
        <v>85.84</v>
      </c>
      <c r="J12" s="14" t="n">
        <v>10</v>
      </c>
      <c r="K12" s="15" t="n">
        <v>825.76</v>
      </c>
      <c r="L12" s="17" t="n">
        <v>3.03</v>
      </c>
    </row>
    <row r="13">
      <c r="A13" s="14" t="inlineStr">
        <is>
          <t>Broad</t>
        </is>
      </c>
      <c r="B13" s="14" t="inlineStr">
        <is>
          <t>Black DHURANDHAR</t>
        </is>
      </c>
      <c r="C13" s="15" t="n">
        <v>6623.22</v>
      </c>
      <c r="D13" s="14" t="n">
        <v>40540</v>
      </c>
      <c r="E13" s="14" t="n">
        <v>35669</v>
      </c>
      <c r="F13" s="14" t="n">
        <v>1513</v>
      </c>
      <c r="G13" s="16" t="n">
        <v>0.0373</v>
      </c>
      <c r="H13" s="15" t="n">
        <v>4.38</v>
      </c>
      <c r="I13" s="15" t="n">
        <v>163.37</v>
      </c>
      <c r="J13" s="14" t="n">
        <v>6</v>
      </c>
      <c r="K13" s="15" t="n">
        <v>1103.87</v>
      </c>
      <c r="L13" s="17" t="n">
        <v>1.9</v>
      </c>
    </row>
    <row r="14">
      <c r="A14" s="14" t="inlineStr">
        <is>
          <t>Best performing ads</t>
        </is>
      </c>
      <c r="B14" s="14" t="inlineStr">
        <is>
          <t>Retargeting- new</t>
        </is>
      </c>
      <c r="C14" s="15" t="n">
        <v>4697.84</v>
      </c>
      <c r="D14" s="14" t="n">
        <v>15470</v>
      </c>
      <c r="E14" s="14" t="n">
        <v>10816</v>
      </c>
      <c r="F14" s="14" t="n">
        <v>541</v>
      </c>
      <c r="G14" s="16" t="n">
        <v>0.035</v>
      </c>
      <c r="H14" s="15" t="n">
        <v>8.68</v>
      </c>
      <c r="I14" s="15" t="n">
        <v>303.67</v>
      </c>
      <c r="J14" s="14" t="n">
        <v>7</v>
      </c>
      <c r="K14" s="15" t="n">
        <v>671.12</v>
      </c>
      <c r="L14" s="17" t="n">
        <v>5.51</v>
      </c>
    </row>
    <row r="15">
      <c r="A15" s="14" t="inlineStr">
        <is>
          <t>White Dhurandhar</t>
        </is>
      </c>
      <c r="B15" s="14" t="inlineStr">
        <is>
          <t>New Campaign- for recovery</t>
        </is>
      </c>
      <c r="C15" s="15" t="n">
        <v>2110.6</v>
      </c>
      <c r="D15" s="14" t="n">
        <v>12135</v>
      </c>
      <c r="E15" s="14" t="n">
        <v>11079</v>
      </c>
      <c r="F15" s="14" t="n">
        <v>178</v>
      </c>
      <c r="G15" s="16" t="n">
        <v>0.0147</v>
      </c>
      <c r="H15" s="15" t="n">
        <v>11.86</v>
      </c>
      <c r="I15" s="15" t="n">
        <v>173.93</v>
      </c>
      <c r="J15" s="14" t="n">
        <v>1</v>
      </c>
      <c r="K15" s="15" t="n">
        <v>2110.6</v>
      </c>
      <c r="L15" s="17" t="n">
        <v>0.95</v>
      </c>
    </row>
    <row r="16">
      <c r="A16" s="14" t="inlineStr">
        <is>
          <t>Black and multiple</t>
        </is>
      </c>
      <c r="B16" s="14" t="inlineStr">
        <is>
          <t>Retargeting- new</t>
        </is>
      </c>
      <c r="C16" s="15" t="n">
        <v>1607.91</v>
      </c>
      <c r="D16" s="14" t="n">
        <v>5289</v>
      </c>
      <c r="E16" s="14" t="n">
        <v>3985</v>
      </c>
      <c r="F16" s="14" t="n">
        <v>262</v>
      </c>
      <c r="G16" s="16" t="n">
        <v>0.0495</v>
      </c>
      <c r="H16" s="15" t="n">
        <v>6.14</v>
      </c>
      <c r="I16" s="15" t="n">
        <v>304.01</v>
      </c>
      <c r="J16" s="14" t="n">
        <v>1</v>
      </c>
      <c r="K16" s="15" t="n">
        <v>1607.91</v>
      </c>
      <c r="L16" s="17" t="n">
        <v>1.24</v>
      </c>
    </row>
    <row r="17">
      <c r="A17" s="14" t="inlineStr">
        <is>
          <t>Karigari</t>
        </is>
      </c>
      <c r="B17" s="14" t="inlineStr">
        <is>
          <t>Dhirai Scale -ASC</t>
        </is>
      </c>
      <c r="C17" s="15" t="n">
        <v>316.84</v>
      </c>
      <c r="D17" s="14" t="n">
        <v>1115</v>
      </c>
      <c r="E17" s="14" t="n">
        <v>951</v>
      </c>
      <c r="F17" s="14" t="n">
        <v>47</v>
      </c>
      <c r="G17" s="16" t="n">
        <v>0.04219999999999999</v>
      </c>
      <c r="H17" s="15" t="n">
        <v>6.74</v>
      </c>
      <c r="I17" s="15" t="n">
        <v>284.16</v>
      </c>
      <c r="J17" s="14" t="n"/>
      <c r="K17" s="15" t="n"/>
      <c r="L17" s="17" t="n"/>
    </row>
    <row r="18">
      <c r="A18" s="14" t="inlineStr">
        <is>
          <t>Karigar</t>
        </is>
      </c>
      <c r="B18" s="14" t="inlineStr">
        <is>
          <t>New Campaign- for recovery</t>
        </is>
      </c>
      <c r="C18" s="15" t="n">
        <v>30.27</v>
      </c>
      <c r="D18" s="14" t="n">
        <v>139</v>
      </c>
      <c r="E18" s="14" t="n">
        <v>132</v>
      </c>
      <c r="F18" s="14" t="n">
        <v>2</v>
      </c>
      <c r="G18" s="16" t="n">
        <v>0.0144</v>
      </c>
      <c r="H18" s="15" t="n">
        <v>15.14</v>
      </c>
      <c r="I18" s="15" t="n">
        <v>217.77</v>
      </c>
      <c r="J18" s="14" t="n"/>
      <c r="K18" s="15" t="n"/>
      <c r="L18" s="17" t="n"/>
    </row>
    <row r="19">
      <c r="A19" s="14" t="inlineStr">
        <is>
          <t>Black Dhurandhar</t>
        </is>
      </c>
      <c r="B19" s="14" t="inlineStr">
        <is>
          <t>New Campaign- for recovery</t>
        </is>
      </c>
      <c r="C19" s="15" t="n">
        <v>13.49</v>
      </c>
      <c r="D19" s="14" t="n">
        <v>42</v>
      </c>
      <c r="E19" s="14" t="n">
        <v>39</v>
      </c>
      <c r="F19" s="14" t="n">
        <v>1</v>
      </c>
      <c r="G19" s="16" t="n">
        <v>0.0238</v>
      </c>
      <c r="H19" s="15" t="n">
        <v>13.49</v>
      </c>
      <c r="I19" s="15" t="n">
        <v>321.19</v>
      </c>
      <c r="J19" s="14" t="n"/>
      <c r="K19" s="15" t="n"/>
      <c r="L19" s="17" t="n"/>
    </row>
  </sheetData>
  <autoFilter ref="A10:L19"/>
  <mergeCells count="2">
    <mergeCell ref="A1:L1"/>
    <mergeCell ref="A9:L9"/>
  </mergeCells>
  <conditionalFormatting sqref="L4:L7">
    <cfRule type="cellIs" priority="1" operator="lessThan" dxfId="1">
      <formula>1.5</formula>
    </cfRule>
    <cfRule type="cellIs" priority="2" operator="between" dxfId="2">
      <formula>1.5</formula>
      <formula>3</formula>
    </cfRule>
    <cfRule type="cellIs" priority="3" operator="greaterThan" dxfId="0">
      <formula>3</formula>
    </cfRule>
  </conditionalFormatting>
  <conditionalFormatting sqref="G4:G7">
    <cfRule type="cellIs" priority="4" operator="lessThan" dxfId="2">
      <formula>0.015</formula>
    </cfRule>
  </conditionalFormatting>
  <conditionalFormatting sqref="L11:L19">
    <cfRule type="cellIs" priority="5" operator="lessThan" dxfId="1">
      <formula>1.5</formula>
    </cfRule>
    <cfRule type="cellIs" priority="6" operator="between" dxfId="2">
      <formula>1.5</formula>
      <formula>3</formula>
    </cfRule>
    <cfRule type="cellIs" priority="7" operator="greaterThan" dxfId="0">
      <formula>3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00" customWidth="1" min="2" max="2"/>
    <col width="4" customWidth="1" min="3" max="3"/>
  </cols>
  <sheetData>
    <row r="1">
      <c r="A1" s="18" t="inlineStr">
        <is>
          <t>RECOMMENDATIONS &amp; NOTES — 2026-07-18</t>
        </is>
      </c>
      <c r="B1" s="2" t="n"/>
      <c r="C1" s="2" t="n"/>
    </row>
    <row r="3">
      <c r="A3" s="4" t="inlineStr">
        <is>
          <t>KEY WINS</t>
        </is>
      </c>
      <c r="B3" s="5" t="n"/>
      <c r="C3" s="5" t="n"/>
    </row>
    <row r="4">
      <c r="A4" t="inlineStr"/>
      <c r="B4" s="19" t="inlineStr">
        <is>
          <t>Campaign 'Retargeting- new' delivered ROAS 4.42x yesterday (its ad set 'Best performing ads' hit 5.51x) — a strong scale candidate.</t>
        </is>
      </c>
      <c r="C4" t="inlineStr"/>
    </row>
    <row r="5">
      <c r="A5" t="inlineStr"/>
      <c r="B5" s="19" t="inlineStr">
        <is>
          <t>Ad efficiency improved: CPC down 17.2% and CPM down 12.2% vs the 7-day average.</t>
        </is>
      </c>
      <c r="C5" t="inlineStr"/>
    </row>
    <row r="6">
      <c r="A6" t="inlineStr"/>
      <c r="B6" s="19" t="inlineStr">
        <is>
          <t>'Ira Rayon Co-ord Set' remains the top seller, ₹29,988 yesterday and ₹307,377 over the trailing 7 days.</t>
        </is>
      </c>
      <c r="C6" t="inlineStr"/>
    </row>
    <row r="8">
      <c r="A8" s="4" t="inlineStr">
        <is>
          <t>KEY ISSUES</t>
        </is>
      </c>
      <c r="B8" s="5" t="n"/>
      <c r="C8" s="5" t="n"/>
    </row>
    <row r="9">
      <c r="A9" t="inlineStr"/>
      <c r="B9" s="19" t="inlineStr">
        <is>
          <t>Gross sales fell 39.3% and orders fell 37.7% vs the 7-day average — the steepest single-day drop of the week.</t>
        </is>
      </c>
      <c r="C9" t="inlineStr"/>
    </row>
    <row r="10">
      <c r="A10" t="inlineStr"/>
      <c r="B10" s="19" t="inlineStr">
        <is>
          <t>Meta purchases fell 41.0% and ROAS fell from 3.84x to 2.82x (-26.6%) while CPA rose 33.9% to ₹909.</t>
        </is>
      </c>
      <c r="C10" t="inlineStr"/>
    </row>
    <row r="11">
      <c r="A11" t="inlineStr"/>
      <c r="B11" s="19" t="inlineStr">
        <is>
          <t>Ad set 'White Dhurandhar' is running at ROAS 0.95x — below breakeven.</t>
        </is>
      </c>
      <c r="C11" t="inlineStr"/>
    </row>
    <row r="12">
      <c r="A12" t="inlineStr"/>
      <c r="B12" s="19" t="inlineStr">
        <is>
          <t>Ad set 'Black and multiple' was flagged by Meta for a narrow audience (~23K-27K reach).</t>
        </is>
      </c>
      <c r="C12" t="inlineStr"/>
    </row>
    <row r="13">
      <c r="A13" t="inlineStr"/>
      <c r="B13" s="19" t="inlineStr">
        <is>
          <t>Shopify's checkout-completion tracking shows 0-1 sessions/day all week despite 41-87 real orders/day — looks like a tracking/pixel gap, not a real conversion problem.</t>
        </is>
      </c>
      <c r="C13" t="inlineStr"/>
    </row>
    <row r="15">
      <c r="A15" s="4" t="inlineStr">
        <is>
          <t>RECOMMENDED ACTIONS FOR TODAY</t>
        </is>
      </c>
      <c r="B15" s="5" t="n"/>
      <c r="C15" s="5" t="n"/>
    </row>
    <row r="16">
      <c r="A16" t="inlineStr"/>
      <c r="B16" s="19" t="inlineStr">
        <is>
          <t>1. Scale budget 20-30% on the 'Retargeting- new' campaign / 'Best performing ads' ad set given its 5.51x ROAS.</t>
        </is>
      </c>
      <c r="C16" t="inlineStr"/>
    </row>
    <row r="17">
      <c r="A17" t="inlineStr"/>
      <c r="B17" s="19" t="inlineStr">
        <is>
          <t>2. Pause or refresh creative on the 'White Dhurandhar' ad set (ROAS 0.95x, below breakeven).</t>
        </is>
      </c>
      <c r="C17" t="inlineStr"/>
    </row>
    <row r="18">
      <c r="A18" t="inlineStr"/>
      <c r="B18" s="19" t="inlineStr">
        <is>
          <t>3. Expand the audience (or test Advantage+ audience) on 'Black and multiple' to fix the narrow-audience warning.</t>
        </is>
      </c>
      <c r="C18" t="inlineStr"/>
    </row>
    <row r="19">
      <c r="A19" t="inlineStr"/>
      <c r="B19" s="19" t="inlineStr">
        <is>
          <t>4. Investigate yesterday's steep order/revenue drop — check payment gateway status, site uptime, and ad delivery pacing together.</t>
        </is>
      </c>
      <c r="C19" t="inlineStr"/>
    </row>
    <row r="20">
      <c r="A20" t="inlineStr"/>
      <c r="B20" s="19" t="inlineStr">
        <is>
          <t>5. Review Shopify's checkout/pixel tracking configuration — completed-checkout sessions do not reconcile with real order volume.</t>
        </is>
      </c>
      <c r="C20" t="inlineStr"/>
    </row>
    <row r="22">
      <c r="A22" s="4" t="inlineStr">
        <is>
          <t>ANOMALY SIGNALS (Meta Ads)</t>
        </is>
      </c>
      <c r="B22" s="5" t="n"/>
      <c r="C22" s="5" t="n"/>
    </row>
    <row r="23">
      <c r="A23" t="inlineStr"/>
      <c r="B23" s="19" t="inlineStr">
        <is>
          <t>Ad set 'Black and multiple' (Retargeting- new): actively delivering to a narrow audience (est. 23,100-27,200 reach). Recommendation: expand audience or A/B test Advantage+ audience.</t>
        </is>
      </c>
      <c r="C23" t="inlineStr"/>
    </row>
    <row r="25">
      <c r="A25" s="4" t="inlineStr">
        <is>
          <t>TRACKING NOTE</t>
        </is>
      </c>
      <c r="B25" s="5" t="n"/>
      <c r="C25" s="5" t="n"/>
    </row>
    <row r="26">
      <c r="A26" t="inlineStr"/>
      <c r="B26" s="19" t="inlineStr">
        <is>
          <t>Shopify's sessions_that_completed_checkout metric reported 0-1 per day all week despite 41-87 real orders/day per the sales table - this looks like a checkout/pixel attribution gap in Shopify analytics, not an actual conversion problem. Recommend having someone check the Shopify Analytics/pixel configuration.</t>
        </is>
      </c>
      <c r="C26" t="inlineStr"/>
    </row>
    <row r="28">
      <c r="A28" s="4" t="inlineStr">
        <is>
          <t>UNAVAILABLE METRICS / DATA NOTES</t>
        </is>
      </c>
      <c r="B28" s="5" t="n"/>
      <c r="C28" s="5" t="n"/>
    </row>
    <row r="29">
      <c r="A29" t="inlineStr"/>
      <c r="B29" s="19" t="inlineStr">
        <is>
          <t>Failed payments: not exposed by the Shopify ShopifyQL analytics endpoints available in this session.</t>
        </is>
      </c>
      <c r="C29" t="inlineStr"/>
    </row>
    <row r="30">
      <c r="A30" t="inlineStr"/>
      <c r="B30" s="19" t="inlineStr">
        <is>
          <t>Abandoned checkouts (count/value): not exposed by the Shopify ShopifyQL analytics endpoints available in this session; sessions_that_reached_checkout is used as a partial proxy.</t>
        </is>
      </c>
      <c r="C30" t="inlineStr"/>
    </row>
    <row r="31">
      <c r="A31" t="inlineStr"/>
      <c r="B31" s="19" t="inlineStr">
        <is>
          <t>Order-level cancellation and refund reasons: only the aggregate 'returns' total is available via ShopifyQL; per-order detail requires the Shopify Admin UI.</t>
        </is>
      </c>
      <c r="C31" t="inlineStr"/>
    </row>
    <row r="32">
      <c r="A32" t="inlineStr"/>
      <c r="B32" s="19" t="inlineStr">
        <is>
          <t>Financial status breakdown (pending/paid/refunded): ShopifyQL rejected 'financial_status' / 'order_financial_status' as unknown columns - not queryable via the analytics API in this session.</t>
        </is>
      </c>
      <c r="C32" t="inlineStr"/>
    </row>
    <row r="33">
      <c r="A33" t="inlineStr"/>
      <c r="B33" s="19" t="inlineStr">
        <is>
          <t>Google Sheets: no Google Sheets connector was available in this session, so this dashboard was delivered as an Excel workbook instead.</t>
        </is>
      </c>
      <c r="C33" t="inlineStr"/>
    </row>
    <row r="34">
      <c r="A34" t="inlineStr"/>
      <c r="B34" s="19" t="inlineStr">
        <is>
          <t>Direct email send / attaching this file to a Gmail draft: not supported by the Gmail tools available in this session (draft-only, no attachments) - the workbook was committed to the claude-routines repo and linked instead.</t>
        </is>
      </c>
      <c r="C34" t="inlineStr"/>
    </row>
  </sheetData>
  <mergeCells count="7">
    <mergeCell ref="A25:C25"/>
    <mergeCell ref="A28:C28"/>
    <mergeCell ref="A1:C1"/>
    <mergeCell ref="A8:C8"/>
    <mergeCell ref="A22:C22"/>
    <mergeCell ref="A3:C3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2026-07-19T18:01:49Z</dcterms:created>
  <dcterms:modified xsi:type="dcterms:W3CDTF">2026-07-19T18:01:49Z</dcterms:modified>
</cp:coreProperties>
</file>