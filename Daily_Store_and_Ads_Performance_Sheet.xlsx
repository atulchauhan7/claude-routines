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opify Daily Data" sheetId="2" state="visible" r:id="rId2"/>
    <sheet name="Meta Ads Daily Data" sheetId="3" state="visible" r:id="rId3"/>
    <sheet name="Product Performance" sheetId="4" state="visible" r:id="rId4"/>
    <sheet name="Campaign Performance" sheetId="5" state="visible" r:id="rId5"/>
    <sheet name="Recommendations &amp; Notes" sheetId="6" state="visible" r:id="rId6"/>
  </sheets>
  <definedNames>
    <definedName name="_xlnm._FilterDatabase" localSheetId="1" hidden="1">'Shopify Daily Data'!$A$1:$J$9</definedName>
    <definedName name="_xlnm._FilterDatabase" localSheetId="2" hidden="1">'Meta Ads Daily Data'!$A$1:$K$9</definedName>
    <definedName name="_xlnm._FilterDatabase" localSheetId="3" hidden="1">'Product Performance'!$A$2:$D$17</definedName>
    <definedName name="_xlnm._FilterDatabase" localSheetId="4" hidden="1">'Campaign Performance'!$A$2:$J$6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₹&quot;#,##0.00"/>
    <numFmt numFmtId="165" formatCode="0.00&quot;x&quot;"/>
    <numFmt numFmtId="166" formatCode="+0.0%;-0.0%;0.0%"/>
  </numFmts>
  <fonts count="1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2933"/>
      <sz val="13"/>
    </font>
    <font>
      <b val="1"/>
      <color rgb="001F2933"/>
      <sz val="20"/>
    </font>
    <font>
      <i val="1"/>
      <color rgb="0052606D"/>
      <sz val="10"/>
    </font>
    <font>
      <b val="1"/>
      <color rgb="001F2933"/>
      <sz val="10"/>
    </font>
    <font>
      <b val="1"/>
      <color rgb="001F2933"/>
      <sz val="12"/>
    </font>
    <font>
      <color rgb="001E7B34"/>
      <sz val="10"/>
    </font>
    <font>
      <color rgb="009C1F28"/>
      <sz val="10"/>
    </font>
    <font>
      <sz val="10"/>
    </font>
    <font>
      <b val="1"/>
      <color rgb="001F2933"/>
      <sz val="16"/>
    </font>
    <font>
      <color rgb="001E7B34"/>
      <sz val="11"/>
    </font>
    <font>
      <color rgb="009C1F28"/>
      <sz val="11"/>
    </font>
    <font>
      <color rgb="001F2933"/>
      <sz val="11"/>
    </font>
    <font>
      <color rgb="0052606D"/>
      <sz val="10"/>
    </font>
  </fonts>
  <fills count="5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E4E7EB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4" borderId="1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1E7B34"/>
      </font>
      <fill>
        <patternFill patternType="solid">
          <fgColor rgb="00C6EFCE"/>
        </patternFill>
      </fill>
    </dxf>
    <dxf>
      <font>
        <color rgb="009C1F28"/>
      </font>
      <fill>
        <patternFill patternType="solid">
          <fgColor rgb="00FFC7CE"/>
        </patternFill>
      </fill>
    </dxf>
    <dxf>
      <fill>
        <patternFill patternType="solid">
          <fgColor rgb="00FFF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Sales Trend (₹)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Data'!$F$2:$F$9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Orders Trend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Meta Ad Spend Trend (₹)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Trend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Products by Gross Sales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Performance'!B2</f>
            </strRef>
          </tx>
          <spPr>
            <a:ln>
              <a:prstDash val="solid"/>
            </a:ln>
          </spPr>
          <cat>
            <numRef>
              <f>'Product Performance'!$A$3:$A$10</f>
            </numRef>
          </cat>
          <val>
            <numRef>
              <f>'Product Performance'!$B$3:$B$10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Gross Sales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Campaigns — Spend vs ROAS (Yesterday)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'Campaign Performance'!C2</f>
            </strRef>
          </tx>
          <spPr>
            <a:ln>
              <a:prstDash val="solid"/>
            </a:ln>
          </spPr>
          <cat>
            <numRef>
              <f>'Campaign Performance'!$A$3:$A$6</f>
            </numRef>
          </cat>
          <val>
            <numRef>
              <f>'Campaign Performance'!$C$3:$C$6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Spend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3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20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Daily Store &amp; Ads Performance Dashboard</t>
        </is>
      </c>
    </row>
    <row r="2">
      <c r="A2" s="2" t="inlineStr">
        <is>
          <t>Report date: Sunday, 12 July 2026  (Asia/Kolkata, full calendar day)  •  Store: Dhirai (dhirai.in)  •  Ad account: Dhirai</t>
        </is>
      </c>
    </row>
    <row r="4" ht="22" customHeight="1">
      <c r="A4" s="3" t="inlineStr">
        <is>
          <t>Executive Summary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Net Sales (Shopify, yesterday)</t>
        </is>
      </c>
      <c r="C5" s="6">
        <f>'Shopify Daily Data'!F9</f>
        <v/>
      </c>
    </row>
    <row r="6">
      <c r="A6" s="5" t="inlineStr">
        <is>
          <t>Orders (Shopify, yesterday)</t>
        </is>
      </c>
      <c r="C6" s="7">
        <f>'Shopify Daily Data'!B9</f>
        <v/>
      </c>
    </row>
    <row r="7">
      <c r="A7" s="5" t="inlineStr">
        <is>
          <t>Ad Spend (Meta, yesterday)</t>
        </is>
      </c>
      <c r="C7" s="6">
        <f>'Meta Ads Daily Data'!B9</f>
        <v/>
      </c>
    </row>
    <row r="8">
      <c r="A8" s="5" t="inlineStr">
        <is>
          <t>ROAS (Meta, yesterday)</t>
        </is>
      </c>
      <c r="C8" s="8">
        <f>'Meta Ads Daily Data'!I9</f>
        <v/>
      </c>
    </row>
    <row r="9">
      <c r="A9" s="5" t="inlineStr">
        <is>
          <t>Blended: Net Sales ÷ Ad Spend</t>
        </is>
      </c>
      <c r="C9" s="8">
        <f>'Shopify Daily Data'!F9/'Meta Ads Daily Data'!B9</f>
        <v/>
      </c>
    </row>
    <row r="11" ht="22" customHeight="1">
      <c r="A11" s="3" t="inlineStr">
        <is>
          <t>Shopify Performance — Yesterday vs Previous 7-Day Average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9" t="inlineStr">
        <is>
          <t>Metric</t>
        </is>
      </c>
      <c r="B12" s="9" t="inlineStr">
        <is>
          <t>Yesterday</t>
        </is>
      </c>
      <c r="C12" s="9" t="inlineStr">
        <is>
          <t>7-Day Avg</t>
        </is>
      </c>
      <c r="D12" s="9" t="inlineStr">
        <is>
          <t>Change %</t>
        </is>
      </c>
    </row>
    <row r="13">
      <c r="A13" s="10" t="inlineStr">
        <is>
          <t>Gross Sales</t>
        </is>
      </c>
      <c r="B13" s="11">
        <f>'Shopify Daily Data'!C9</f>
        <v/>
      </c>
      <c r="C13" s="11">
        <f>AVERAGE('Shopify Daily Data'!C2:C8)</f>
        <v/>
      </c>
      <c r="D13" s="12">
        <f>IFERROR((B13-C13)/ABS(C13),"n/a")</f>
        <v/>
      </c>
    </row>
    <row r="14">
      <c r="A14" s="10" t="inlineStr">
        <is>
          <t>Discounts</t>
        </is>
      </c>
      <c r="B14" s="11">
        <f>'Shopify Daily Data'!D9</f>
        <v/>
      </c>
      <c r="C14" s="11">
        <f>AVERAGE('Shopify Daily Data'!D2:D8)</f>
        <v/>
      </c>
      <c r="D14" s="12">
        <f>IFERROR((B14-C14)/ABS(C14),"n/a")</f>
        <v/>
      </c>
    </row>
    <row r="15">
      <c r="A15" s="10" t="inlineStr">
        <is>
          <t>Returns / Refunds</t>
        </is>
      </c>
      <c r="B15" s="11">
        <f>'Shopify Daily Data'!E9</f>
        <v/>
      </c>
      <c r="C15" s="11">
        <f>AVERAGE('Shopify Daily Data'!E2:E8)</f>
        <v/>
      </c>
      <c r="D15" s="12">
        <f>IFERROR((B15-C15)/ABS(C15),"n/a")</f>
        <v/>
      </c>
    </row>
    <row r="16">
      <c r="A16" s="10" t="inlineStr">
        <is>
          <t>Net Sales</t>
        </is>
      </c>
      <c r="B16" s="11">
        <f>'Shopify Daily Data'!F9</f>
        <v/>
      </c>
      <c r="C16" s="11">
        <f>AVERAGE('Shopify Daily Data'!F2:F8)</f>
        <v/>
      </c>
      <c r="D16" s="12">
        <f>IFERROR((B16-C16)/ABS(C16),"n/a")</f>
        <v/>
      </c>
    </row>
    <row r="17">
      <c r="A17" s="10" t="inlineStr">
        <is>
          <t>Total Sales</t>
        </is>
      </c>
      <c r="B17" s="11">
        <f>'Shopify Daily Data'!I9</f>
        <v/>
      </c>
      <c r="C17" s="11">
        <f>AVERAGE('Shopify Daily Data'!I2:I8)</f>
        <v/>
      </c>
      <c r="D17" s="12">
        <f>IFERROR((B17-C17)/ABS(C17),"n/a")</f>
        <v/>
      </c>
    </row>
    <row r="18">
      <c r="A18" s="10" t="inlineStr">
        <is>
          <t>Orders</t>
        </is>
      </c>
      <c r="B18" s="13">
        <f>'Shopify Daily Data'!B9</f>
        <v/>
      </c>
      <c r="C18" s="13">
        <f>AVERAGE('Shopify Daily Data'!B2:B8)</f>
        <v/>
      </c>
      <c r="D18" s="12">
        <f>IFERROR((B18-C18)/ABS(C18),"n/a")</f>
        <v/>
      </c>
    </row>
    <row r="19">
      <c r="A19" s="10" t="inlineStr">
        <is>
          <t>Average Order Value</t>
        </is>
      </c>
      <c r="B19" s="11">
        <f>'Shopify Daily Data'!J9</f>
        <v/>
      </c>
      <c r="C19" s="11">
        <f>AVERAGE('Shopify Daily Data'!J2:J8)</f>
        <v/>
      </c>
      <c r="D19" s="12">
        <f>IFERROR((B19-C19)/ABS(C19),"n/a")</f>
        <v/>
      </c>
    </row>
    <row r="21" ht="22" customHeight="1">
      <c r="A21" s="3" t="inlineStr">
        <is>
          <t>Meta Ads Performance — Yesterday vs Previous 7-Day Average</t>
        </is>
      </c>
      <c r="B21" s="4" t="n"/>
      <c r="C21" s="4" t="n"/>
      <c r="D21" s="4" t="n"/>
      <c r="E21" s="4" t="n"/>
      <c r="F21" s="4" t="n"/>
      <c r="G21" s="4" t="n"/>
      <c r="H21" s="4" t="n"/>
    </row>
    <row r="22">
      <c r="A22" s="9" t="inlineStr">
        <is>
          <t>Metric</t>
        </is>
      </c>
      <c r="B22" s="9" t="inlineStr">
        <is>
          <t>Yesterday</t>
        </is>
      </c>
      <c r="C22" s="9" t="inlineStr">
        <is>
          <t>7-Day Avg</t>
        </is>
      </c>
      <c r="D22" s="9" t="inlineStr">
        <is>
          <t>Change %</t>
        </is>
      </c>
    </row>
    <row r="23">
      <c r="A23" s="10" t="inlineStr">
        <is>
          <t>Amount Spent</t>
        </is>
      </c>
      <c r="B23" s="11">
        <f>'Meta Ads Daily Data'!B9</f>
        <v/>
      </c>
      <c r="C23" s="11">
        <f>AVERAGE('Meta Ads Daily Data'!B2:B8)</f>
        <v/>
      </c>
      <c r="D23" s="12">
        <f>IFERROR((B23-C23)/ABS(C23),"n/a")</f>
        <v/>
      </c>
    </row>
    <row r="24">
      <c r="A24" s="10" t="inlineStr">
        <is>
          <t>Impressions</t>
        </is>
      </c>
      <c r="B24" s="13">
        <f>'Meta Ads Daily Data'!C9</f>
        <v/>
      </c>
      <c r="C24" s="13">
        <f>AVERAGE('Meta Ads Daily Data'!C2:C8)</f>
        <v/>
      </c>
      <c r="D24" s="12">
        <f>IFERROR((B24-C24)/ABS(C24),"n/a")</f>
        <v/>
      </c>
    </row>
    <row r="25">
      <c r="A25" s="10" t="inlineStr">
        <is>
          <t>Reach</t>
        </is>
      </c>
      <c r="B25" s="13">
        <f>'Meta Ads Daily Data'!D9</f>
        <v/>
      </c>
      <c r="C25" s="13">
        <f>AVERAGE('Meta Ads Daily Data'!D2:D8)</f>
        <v/>
      </c>
      <c r="D25" s="12">
        <f>IFERROR((B25-C25)/ABS(C25),"n/a")</f>
        <v/>
      </c>
    </row>
    <row r="26">
      <c r="A26" s="10" t="inlineStr">
        <is>
          <t>Clicks</t>
        </is>
      </c>
      <c r="B26" s="13">
        <f>'Meta Ads Daily Data'!E9</f>
        <v/>
      </c>
      <c r="C26" s="13">
        <f>AVERAGE('Meta Ads Daily Data'!E2:E8)</f>
        <v/>
      </c>
      <c r="D26" s="12">
        <f>IFERROR((B26-C26)/ABS(C26),"n/a")</f>
        <v/>
      </c>
    </row>
    <row r="27">
      <c r="A27" s="10" t="inlineStr">
        <is>
          <t>CTR</t>
        </is>
      </c>
      <c r="B27" s="14">
        <f>'Meta Ads Daily Data'!F9</f>
        <v/>
      </c>
      <c r="C27" s="14">
        <f>AVERAGE('Meta Ads Daily Data'!F2:F8)</f>
        <v/>
      </c>
      <c r="D27" s="12">
        <f>IFERROR((B27-C27)/ABS(C27),"n/a")</f>
        <v/>
      </c>
    </row>
    <row r="28">
      <c r="A28" s="10" t="inlineStr">
        <is>
          <t>CPC</t>
        </is>
      </c>
      <c r="B28" s="11">
        <f>'Meta Ads Daily Data'!G9</f>
        <v/>
      </c>
      <c r="C28" s="11">
        <f>AVERAGE('Meta Ads Daily Data'!G2:G8)</f>
        <v/>
      </c>
      <c r="D28" s="12">
        <f>IFERROR((B28-C28)/ABS(C28),"n/a")</f>
        <v/>
      </c>
    </row>
    <row r="29">
      <c r="A29" s="10" t="inlineStr">
        <is>
          <t>ROAS</t>
        </is>
      </c>
      <c r="B29" s="15">
        <f>'Meta Ads Daily Data'!I9</f>
        <v/>
      </c>
      <c r="C29" s="15">
        <f>AVERAGE('Meta Ads Daily Data'!I2:I8)</f>
        <v/>
      </c>
      <c r="D29" s="12">
        <f>IFERROR((B29-C29)/ABS(C29),"n/a")</f>
        <v/>
      </c>
    </row>
    <row r="30">
      <c r="A30" s="10" t="inlineStr">
        <is>
          <t>Purchases</t>
        </is>
      </c>
      <c r="B30" s="13">
        <f>'Meta Ads Daily Data'!J9</f>
        <v/>
      </c>
      <c r="C30" s="13">
        <f>AVERAGE('Meta Ads Daily Data'!J2:J8)</f>
        <v/>
      </c>
      <c r="D30" s="12">
        <f>IFERROR((B30-C30)/ABS(C30),"n/a")</f>
        <v/>
      </c>
    </row>
    <row r="31">
      <c r="A31" s="10" t="inlineStr">
        <is>
          <t>Cost / Purchase</t>
        </is>
      </c>
      <c r="B31" s="11">
        <f>'Meta Ads Daily Data'!K9</f>
        <v/>
      </c>
      <c r="C31" s="11">
        <f>AVERAGE('Meta Ads Daily Data'!K2:K8)</f>
        <v/>
      </c>
      <c r="D31" s="12">
        <f>IFERROR((B31-C31)/ABS(C31),"n/a")</f>
        <v/>
      </c>
    </row>
    <row r="33" ht="22" customHeight="1">
      <c r="A33" s="3" t="inlineStr">
        <is>
          <t>Key Wins</t>
        </is>
      </c>
      <c r="B33" s="4" t="n"/>
      <c r="C33" s="4" t="n"/>
      <c r="D33" s="4" t="n"/>
      <c r="E33" s="4" t="n"/>
      <c r="F33" s="4" t="n"/>
      <c r="G33" s="4" t="n"/>
      <c r="H33" s="4" t="n"/>
    </row>
    <row r="34">
      <c r="A34" s="16" t="inlineStr">
        <is>
          <t>✓  Net sales up ~48.9% vs the 7-day average (₹2,21,183 vs ₹1,48,563/day avg), driven by 87 orders — the highest single-day order count in the trailing window.</t>
        </is>
      </c>
    </row>
    <row r="35">
      <c r="A35" s="16" t="inlineStr">
        <is>
          <t>✓  Meta Ads ROAS jumped to 5.45x (vs 3.38x 7-day avg), the best day in the window, with cost/purchase down ~20% to ₹566 and purchases up ~43% to 84.</t>
        </is>
      </c>
    </row>
    <row r="36">
      <c r="A36" s="16" t="inlineStr">
        <is>
          <t>✓  "Retargeting- new" was the standout campaign — 11.27x ROAS and ₹360 cost/purchase, both the best of any campaign yesterday.</t>
        </is>
      </c>
    </row>
    <row r="37">
      <c r="A37" s="16" t="inlineStr">
        <is>
          <t>✓  Top 2 products (Ira Rayon Co-ord Set, "The Essential" Co-ord Set) alone drove ₹99,256 — ~37% of yesterday's gross sales.</t>
        </is>
      </c>
    </row>
    <row r="39" ht="22" customHeight="1">
      <c r="A39" s="3" t="inlineStr">
        <is>
          <t>Key Issues</t>
        </is>
      </c>
      <c r="B39" s="4" t="n"/>
      <c r="C39" s="4" t="n"/>
      <c r="D39" s="4" t="n"/>
      <c r="E39" s="4" t="n"/>
      <c r="F39" s="4" t="n"/>
      <c r="G39" s="4" t="n"/>
      <c r="H39" s="4" t="n"/>
    </row>
    <row r="40">
      <c r="A40" s="17" t="inlineStr">
        <is>
          <t>⚠  ₹47,285 in Returns/Refunds yesterday (vs ~₹1,035/day avg) — driven almost entirely by 4 VOIDED orders, including 3 from the same customer (Yogesh Martand Aglave, ₹45,286 combined) placed within 2 minutes. Looks like a payment-gateway retry/duplicate-charge failure, not genuine returns.</t>
        </is>
      </c>
    </row>
    <row r="41">
      <c r="A41" s="17" t="inlineStr">
        <is>
          <t>⚠  2 products are OUT OF STOCK ("Zariya" Stone Hoops, "Utsav" Mal Cotton Anarkali Suit Set) and may be losing sales unnoticed.</t>
        </is>
      </c>
    </row>
    <row r="42">
      <c r="A42" s="17" t="inlineStr">
        <is>
          <t>⚠  "New Campaign- for recovery" is the weakest campaign both yesterday (2.02x ROAS, ₹1,295 cost/purchase) and over the past 7 days (2.40x ROAS) despite being the single largest ad spend line (~33% of budget).</t>
        </is>
      </c>
    </row>
    <row r="43">
      <c r="A43" s="17" t="inlineStr">
        <is>
          <t>⚠  Meta flagged the "Black and multiple" ad set for a narrow audience (~20,900–24,600 people) — may be limiting delivery/scale.</t>
        </is>
      </c>
    </row>
    <row r="44">
      <c r="A44" s="17" t="inlineStr">
        <is>
          <t>⚠  Shopify's on-site checkout-funnel tracking looks broken: only 1–2 sessions/day show as reaching or completing checkout vs 50–90 real orders/day. Recommendations here rely on order-level data, not funnel data.</t>
        </is>
      </c>
    </row>
    <row r="46" ht="22" customHeight="1">
      <c r="A46" s="3" t="inlineStr">
        <is>
          <t>Recommended Actions for Today</t>
        </is>
      </c>
      <c r="B46" s="4" t="n"/>
      <c r="C46" s="4" t="n"/>
      <c r="D46" s="4" t="n"/>
      <c r="E46" s="4" t="n"/>
      <c r="F46" s="4" t="n"/>
      <c r="G46" s="4" t="n"/>
      <c r="H46" s="4" t="n"/>
    </row>
    <row r="47">
      <c r="A47" s="18" t="inlineStr">
        <is>
          <t>1. Investigate the payment gateway for the 4 VOIDED orders yesterday (esp. the 3 rapid-fire attempts from Yogesh Martand Aglave, ₹45,286) — confirm no duplicate charge landed on the customer and check gateway error logs for that window (~23:10–23:12 IST).</t>
        </is>
      </c>
    </row>
    <row r="48">
      <c r="A48" s="18" t="inlineStr">
        <is>
          <t>2. Restock or unpublish "Zariya" Stone Hoops and the "Utsav" Anarkali Suit Set — both are at 0 units and still discoverable on-site.</t>
        </is>
      </c>
    </row>
    <row r="49">
      <c r="A49" s="18" t="inlineStr">
        <is>
          <t>3. Reduce budget on or restructure "New Campaign- for recovery" (consistently ~2–2.4x ROAS, ~2-3x the cost/purchase of other campaigns) and reallocate toward "Retargeting- new" and "Dhirai Scale -ASC", which are outperforming.</t>
        </is>
      </c>
    </row>
    <row r="50">
      <c r="A50" s="18" t="inlineStr">
        <is>
          <t>4. Expand the audience (or enable Advantage+ audience) on the "Black and multiple" ad set to fix the narrow-audience delivery warning.</t>
        </is>
      </c>
    </row>
    <row r="51">
      <c r="A51" s="18" t="inlineStr">
        <is>
          <t>5. Get engineering/analytics to audit the Shopify checkout funnel tracking (GA/pixel setup) — current session data undercounts checkouts by roughly 50-80x versus actual orders, which blocks meaningful conversion-rate analysis.</t>
        </is>
      </c>
    </row>
  </sheetData>
  <mergeCells count="22">
    <mergeCell ref="A48:H48"/>
    <mergeCell ref="A39:H39"/>
    <mergeCell ref="A51:H51"/>
    <mergeCell ref="A36:H36"/>
    <mergeCell ref="A11:H11"/>
    <mergeCell ref="A49:H49"/>
    <mergeCell ref="A1:H1"/>
    <mergeCell ref="A41:H41"/>
    <mergeCell ref="A46:H46"/>
    <mergeCell ref="A37:H37"/>
    <mergeCell ref="A50:H50"/>
    <mergeCell ref="A21:H21"/>
    <mergeCell ref="A2:H2"/>
    <mergeCell ref="A42:H42"/>
    <mergeCell ref="A33:H33"/>
    <mergeCell ref="A47:H47"/>
    <mergeCell ref="A4:H4"/>
    <mergeCell ref="A35:H35"/>
    <mergeCell ref="A34:H34"/>
    <mergeCell ref="A43:H43"/>
    <mergeCell ref="A44:H44"/>
    <mergeCell ref="A40:H40"/>
  </mergeCells>
  <conditionalFormatting sqref="D13:D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3:D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1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3" customWidth="1" min="4" max="4"/>
    <col width="15" customWidth="1" min="5" max="5"/>
    <col width="14" customWidth="1" min="6" max="6"/>
    <col width="11" customWidth="1" min="7" max="7"/>
    <col width="11" customWidth="1" min="8" max="8"/>
    <col width="14" customWidth="1" min="9" max="9"/>
    <col width="15" customWidth="1" min="10" max="10"/>
  </cols>
  <sheetData>
    <row r="1">
      <c r="A1" s="19" t="inlineStr">
        <is>
          <t>Date</t>
        </is>
      </c>
      <c r="B1" s="19" t="inlineStr">
        <is>
          <t>Orders</t>
        </is>
      </c>
      <c r="C1" s="19" t="inlineStr">
        <is>
          <t>Gross Sales</t>
        </is>
      </c>
      <c r="D1" s="19" t="inlineStr">
        <is>
          <t>Discounts</t>
        </is>
      </c>
      <c r="E1" s="19" t="inlineStr">
        <is>
          <t>Returns/Refunds</t>
        </is>
      </c>
      <c r="F1" s="19" t="inlineStr">
        <is>
          <t>Net Sales</t>
        </is>
      </c>
      <c r="G1" s="19" t="inlineStr">
        <is>
          <t>Shipping</t>
        </is>
      </c>
      <c r="H1" s="19" t="inlineStr">
        <is>
          <t>Taxes</t>
        </is>
      </c>
      <c r="I1" s="19" t="inlineStr">
        <is>
          <t>Total Sales</t>
        </is>
      </c>
      <c r="J1" s="19" t="inlineStr">
        <is>
          <t>Avg Order Value</t>
        </is>
      </c>
    </row>
    <row r="2">
      <c r="A2" s="10" t="inlineStr">
        <is>
          <t>2026-07-05</t>
        </is>
      </c>
      <c r="B2" s="10" t="n">
        <v>66</v>
      </c>
      <c r="C2" s="11" t="n">
        <v>165826</v>
      </c>
      <c r="D2" s="11" t="n">
        <v>-5866.03</v>
      </c>
      <c r="E2" s="11" t="n">
        <v>0</v>
      </c>
      <c r="F2" s="11" t="n">
        <v>159959.97</v>
      </c>
      <c r="G2" s="11" t="n">
        <v>0</v>
      </c>
      <c r="H2" s="11" t="n">
        <v>0</v>
      </c>
      <c r="I2" s="11" t="n">
        <v>159959.97</v>
      </c>
      <c r="J2" s="11" t="n">
        <v>2423.635</v>
      </c>
    </row>
    <row r="3">
      <c r="A3" s="10" t="inlineStr">
        <is>
          <t>2026-07-06</t>
        </is>
      </c>
      <c r="B3" s="10" t="n">
        <v>66</v>
      </c>
      <c r="C3" s="11" t="n">
        <v>162175.07</v>
      </c>
      <c r="D3" s="11" t="n">
        <v>-2123.02</v>
      </c>
      <c r="E3" s="11" t="n">
        <v>0</v>
      </c>
      <c r="F3" s="11" t="n">
        <v>160052.05</v>
      </c>
      <c r="G3" s="11" t="n">
        <v>0</v>
      </c>
      <c r="H3" s="11" t="n">
        <v>304.93</v>
      </c>
      <c r="I3" s="11" t="n">
        <v>160356.98</v>
      </c>
      <c r="J3" s="11" t="n">
        <v>2425.031</v>
      </c>
    </row>
    <row r="4">
      <c r="A4" s="10" t="inlineStr">
        <is>
          <t>2026-07-07</t>
        </is>
      </c>
      <c r="B4" s="10" t="n">
        <v>65</v>
      </c>
      <c r="C4" s="11" t="n">
        <v>157434</v>
      </c>
      <c r="D4" s="11" t="n">
        <v>-329.85</v>
      </c>
      <c r="E4" s="11" t="n">
        <v>0</v>
      </c>
      <c r="F4" s="11" t="n">
        <v>157104.15</v>
      </c>
      <c r="G4" s="11" t="n">
        <v>0</v>
      </c>
      <c r="H4" s="11" t="n">
        <v>0</v>
      </c>
      <c r="I4" s="11" t="n">
        <v>157104.15</v>
      </c>
      <c r="J4" s="11" t="n">
        <v>2416.986</v>
      </c>
    </row>
    <row r="5">
      <c r="A5" s="10" t="inlineStr">
        <is>
          <t>2026-07-08</t>
        </is>
      </c>
      <c r="B5" s="10" t="n">
        <v>57</v>
      </c>
      <c r="C5" s="11" t="n">
        <v>132865.03</v>
      </c>
      <c r="D5" s="11" t="n">
        <v>-799.65</v>
      </c>
      <c r="E5" s="11" t="n">
        <v>-4748</v>
      </c>
      <c r="F5" s="11" t="n">
        <v>127317.38</v>
      </c>
      <c r="G5" s="11" t="n">
        <v>0</v>
      </c>
      <c r="H5" s="11" t="n">
        <v>426.97</v>
      </c>
      <c r="I5" s="11" t="n">
        <v>127744.35</v>
      </c>
      <c r="J5" s="11" t="n">
        <v>2316.936</v>
      </c>
    </row>
    <row r="6">
      <c r="A6" s="10" t="inlineStr">
        <is>
          <t>2026-07-09</t>
        </is>
      </c>
      <c r="B6" s="10" t="n">
        <v>73</v>
      </c>
      <c r="C6" s="11" t="n">
        <v>190834.8</v>
      </c>
      <c r="D6" s="11" t="n">
        <v>-1862.32</v>
      </c>
      <c r="E6" s="11" t="n">
        <v>-2499</v>
      </c>
      <c r="F6" s="11" t="n">
        <v>186473.48</v>
      </c>
      <c r="G6" s="11" t="n">
        <v>0</v>
      </c>
      <c r="H6" s="11" t="n">
        <v>381.2</v>
      </c>
      <c r="I6" s="11" t="n">
        <v>186854.68</v>
      </c>
      <c r="J6" s="11" t="n">
        <v>2588.664</v>
      </c>
    </row>
    <row r="7">
      <c r="A7" s="10" t="inlineStr">
        <is>
          <t>2026-07-10</t>
        </is>
      </c>
      <c r="B7" s="10" t="n">
        <v>50</v>
      </c>
      <c r="C7" s="11" t="n">
        <v>121913.25</v>
      </c>
      <c r="D7" s="11" t="n">
        <v>-1613.22</v>
      </c>
      <c r="E7" s="11" t="n">
        <v>0</v>
      </c>
      <c r="F7" s="11" t="n">
        <v>120300.03</v>
      </c>
      <c r="G7" s="11" t="n">
        <v>0</v>
      </c>
      <c r="H7" s="11" t="n">
        <v>533.75</v>
      </c>
      <c r="I7" s="11" t="n">
        <v>120833.78</v>
      </c>
      <c r="J7" s="11" t="n">
        <v>2406</v>
      </c>
    </row>
    <row r="8">
      <c r="A8" s="10" t="inlineStr">
        <is>
          <t>2026-07-11</t>
        </is>
      </c>
      <c r="B8" s="10" t="n">
        <v>55</v>
      </c>
      <c r="C8" s="11" t="n">
        <v>130491</v>
      </c>
      <c r="D8" s="11" t="n">
        <v>-1759.27</v>
      </c>
      <c r="E8" s="11" t="n">
        <v>0</v>
      </c>
      <c r="F8" s="11" t="n">
        <v>128731.73</v>
      </c>
      <c r="G8" s="11" t="n">
        <v>0</v>
      </c>
      <c r="H8" s="11" t="n">
        <v>0</v>
      </c>
      <c r="I8" s="11" t="n">
        <v>128731.73</v>
      </c>
      <c r="J8" s="11" t="n">
        <v>2340.576</v>
      </c>
    </row>
    <row r="9">
      <c r="A9" s="10" t="inlineStr">
        <is>
          <t>2026-07-12</t>
        </is>
      </c>
      <c r="B9" s="10" t="n">
        <v>87</v>
      </c>
      <c r="C9" s="11" t="n">
        <v>269307.8</v>
      </c>
      <c r="D9" s="11" t="n">
        <v>-839.65</v>
      </c>
      <c r="E9" s="11" t="n">
        <v>-47285</v>
      </c>
      <c r="F9" s="11" t="n">
        <v>221183.15</v>
      </c>
      <c r="G9" s="11" t="n">
        <v>0</v>
      </c>
      <c r="H9" s="11" t="n">
        <v>381.2</v>
      </c>
      <c r="I9" s="11" t="n">
        <v>221564.35</v>
      </c>
      <c r="J9" s="11" t="n">
        <v>3085.84</v>
      </c>
    </row>
    <row r="12" ht="22" customHeight="1">
      <c r="A12" s="3" t="inlineStr">
        <is>
          <t>Payment / Order Issues — 2026-07-12</t>
        </is>
      </c>
      <c r="B12" s="4" t="n"/>
      <c r="C12" s="4" t="n"/>
      <c r="D12" s="4" t="n"/>
      <c r="E12" s="4" t="n"/>
    </row>
    <row r="13">
      <c r="A13" s="9" t="inlineStr">
        <is>
          <t>Order</t>
        </is>
      </c>
      <c r="B13" s="9" t="inlineStr">
        <is>
          <t>Customer</t>
        </is>
      </c>
      <c r="C13" s="9" t="inlineStr">
        <is>
          <t>Amount</t>
        </is>
      </c>
      <c r="D13" s="9" t="inlineStr">
        <is>
          <t>Status</t>
        </is>
      </c>
      <c r="E13" s="9" t="inlineStr">
        <is>
          <t>Time (IST)</t>
        </is>
      </c>
    </row>
    <row r="14">
      <c r="A14" s="10" t="inlineStr">
        <is>
          <t>#DHIRAI619171</t>
        </is>
      </c>
      <c r="B14" s="10" t="inlineStr">
        <is>
          <t>Yogesh Martand Aglave</t>
        </is>
      </c>
      <c r="C14" s="11" t="n">
        <v>12896</v>
      </c>
      <c r="D14" s="10" t="inlineStr">
        <is>
          <t>VOIDED</t>
        </is>
      </c>
      <c r="E14" s="10" t="inlineStr">
        <is>
          <t>23:10</t>
        </is>
      </c>
    </row>
    <row r="15">
      <c r="A15" s="10" t="inlineStr">
        <is>
          <t>#DHIRAI619172</t>
        </is>
      </c>
      <c r="B15" s="10" t="inlineStr">
        <is>
          <t>Yogesh Martand Aglave</t>
        </is>
      </c>
      <c r="C15" s="11" t="n">
        <v>16195</v>
      </c>
      <c r="D15" s="10" t="inlineStr">
        <is>
          <t>VOIDED</t>
        </is>
      </c>
      <c r="E15" s="10" t="inlineStr">
        <is>
          <t>23:11</t>
        </is>
      </c>
    </row>
    <row r="16">
      <c r="A16" s="10" t="inlineStr">
        <is>
          <t>#DHIRAI619173</t>
        </is>
      </c>
      <c r="B16" s="10" t="inlineStr">
        <is>
          <t>Yogesh Martand Aglave</t>
        </is>
      </c>
      <c r="C16" s="11" t="n">
        <v>16195</v>
      </c>
      <c r="D16" s="10" t="inlineStr">
        <is>
          <t>VOIDED</t>
        </is>
      </c>
      <c r="E16" s="10" t="inlineStr">
        <is>
          <t>23:12</t>
        </is>
      </c>
    </row>
    <row r="17">
      <c r="A17" s="10" t="inlineStr">
        <is>
          <t>#DHIRAI619155</t>
        </is>
      </c>
      <c r="B17" s="10" t="inlineStr">
        <is>
          <t>Abbas .</t>
        </is>
      </c>
      <c r="C17" s="11" t="n">
        <v>1999</v>
      </c>
      <c r="D17" s="10" t="inlineStr">
        <is>
          <t>VOIDED</t>
        </is>
      </c>
      <c r="E17" s="10" t="inlineStr">
        <is>
          <t>19:49</t>
        </is>
      </c>
    </row>
  </sheetData>
  <autoFilter ref="A1:J9"/>
  <mergeCells count="1">
    <mergeCell ref="A12:E12"/>
  </mergeCells>
  <conditionalFormatting sqref="E2:E9">
    <cfRule type="colorScale" priority="1">
      <colorScale>
        <cfvo type="min"/>
        <cfvo type="percentile" val="50"/>
        <cfvo type="max"/>
        <color rgb="009C1F28"/>
        <color rgb="00FFFFFF"/>
        <color rgb="00FFFFFF"/>
      </colorScale>
    </cfRule>
  </conditionalFormatting>
  <conditionalFormatting sqref="B2:B9">
    <cfRule type="colorScale" priority="2">
      <colorScale>
        <cfvo type="min"/>
        <cfvo type="percentile" val="50"/>
        <cfvo type="max"/>
        <color rgb="00FFC7CE"/>
        <color rgb="00FFFFFF"/>
        <color rgb="00C6EFCE"/>
      </colorScale>
    </cfRule>
  </conditionalFormatting>
  <conditionalFormatting sqref="D14:D17">
    <cfRule type="expression" priority="3" dxfId="1">
      <formula>NOT(ISERROR(SEARCH("VOIDED",D14)))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2" customWidth="1" min="4" max="4"/>
    <col width="10" customWidth="1" min="5" max="5"/>
    <col width="9" customWidth="1" min="6" max="6"/>
    <col width="10" customWidth="1" min="7" max="7"/>
    <col width="11" customWidth="1" min="8" max="8"/>
    <col width="8" customWidth="1" min="9" max="9"/>
    <col width="11" customWidth="1" min="10" max="10"/>
    <col width="14" customWidth="1" min="11" max="11"/>
  </cols>
  <sheetData>
    <row r="1">
      <c r="A1" s="19" t="inlineStr">
        <is>
          <t>Date</t>
        </is>
      </c>
      <c r="B1" s="19" t="inlineStr">
        <is>
          <t>Amount Spent</t>
        </is>
      </c>
      <c r="C1" s="19" t="inlineStr">
        <is>
          <t>Impressions</t>
        </is>
      </c>
      <c r="D1" s="19" t="inlineStr">
        <is>
          <t>Reach</t>
        </is>
      </c>
      <c r="E1" s="19" t="inlineStr">
        <is>
          <t>Clicks</t>
        </is>
      </c>
      <c r="F1" s="19" t="inlineStr">
        <is>
          <t>CTR</t>
        </is>
      </c>
      <c r="G1" s="19" t="inlineStr">
        <is>
          <t>CPC</t>
        </is>
      </c>
      <c r="H1" s="19" t="inlineStr">
        <is>
          <t>CPM</t>
        </is>
      </c>
      <c r="I1" s="19" t="inlineStr">
        <is>
          <t>ROAS</t>
        </is>
      </c>
      <c r="J1" s="19" t="inlineStr">
        <is>
          <t>Purchases</t>
        </is>
      </c>
      <c r="K1" s="19" t="inlineStr">
        <is>
          <t>Cost / Purchase</t>
        </is>
      </c>
    </row>
    <row r="2">
      <c r="A2" s="10" t="inlineStr">
        <is>
          <t>2026-07-05</t>
        </is>
      </c>
      <c r="B2" s="11" t="n">
        <v>43115.88</v>
      </c>
      <c r="C2" s="13" t="n">
        <v>259257</v>
      </c>
      <c r="D2" s="13" t="n">
        <v>210046</v>
      </c>
      <c r="E2" s="13" t="n">
        <v>5727</v>
      </c>
      <c r="F2" s="14" t="n">
        <v>0.0221</v>
      </c>
      <c r="G2" s="11" t="n">
        <v>7.53</v>
      </c>
      <c r="H2" s="11" t="n">
        <v>166.31</v>
      </c>
      <c r="I2" s="15" t="n">
        <v>3.54</v>
      </c>
      <c r="J2" s="13" t="n">
        <v>64</v>
      </c>
      <c r="K2" s="11" t="n">
        <v>673.6900000000001</v>
      </c>
    </row>
    <row r="3">
      <c r="A3" s="10" t="inlineStr">
        <is>
          <t>2026-07-06</t>
        </is>
      </c>
      <c r="B3" s="11" t="n">
        <v>41465.01</v>
      </c>
      <c r="C3" s="13" t="n">
        <v>244063</v>
      </c>
      <c r="D3" s="13" t="n">
        <v>204927</v>
      </c>
      <c r="E3" s="13" t="n">
        <v>5323</v>
      </c>
      <c r="F3" s="14" t="n">
        <v>0.0218</v>
      </c>
      <c r="G3" s="11" t="n">
        <v>7.79</v>
      </c>
      <c r="H3" s="11" t="n">
        <v>169.89</v>
      </c>
      <c r="I3" s="15" t="n">
        <v>3.63</v>
      </c>
      <c r="J3" s="13" t="n">
        <v>62</v>
      </c>
      <c r="K3" s="11" t="n">
        <v>668.79</v>
      </c>
    </row>
    <row r="4">
      <c r="A4" s="10" t="inlineStr">
        <is>
          <t>2026-07-07</t>
        </is>
      </c>
      <c r="B4" s="11" t="n">
        <v>43731.55</v>
      </c>
      <c r="C4" s="13" t="n">
        <v>289695</v>
      </c>
      <c r="D4" s="13" t="n">
        <v>229432</v>
      </c>
      <c r="E4" s="13" t="n">
        <v>6152</v>
      </c>
      <c r="F4" s="14" t="n">
        <v>0.0212</v>
      </c>
      <c r="G4" s="11" t="n">
        <v>7.11</v>
      </c>
      <c r="H4" s="11" t="n">
        <v>150.96</v>
      </c>
      <c r="I4" s="15" t="n">
        <v>3.37</v>
      </c>
      <c r="J4" s="13" t="n">
        <v>63</v>
      </c>
      <c r="K4" s="11" t="n">
        <v>694.15</v>
      </c>
    </row>
    <row r="5">
      <c r="A5" s="10" t="inlineStr">
        <is>
          <t>2026-07-08</t>
        </is>
      </c>
      <c r="B5" s="11" t="n">
        <v>42618.38</v>
      </c>
      <c r="C5" s="13" t="n">
        <v>262678</v>
      </c>
      <c r="D5" s="13" t="n">
        <v>209931</v>
      </c>
      <c r="E5" s="13" t="n">
        <v>5665</v>
      </c>
      <c r="F5" s="14" t="n">
        <v>0.0216</v>
      </c>
      <c r="G5" s="11" t="n">
        <v>7.52</v>
      </c>
      <c r="H5" s="11" t="n">
        <v>162.25</v>
      </c>
      <c r="I5" s="15" t="n">
        <v>3.05</v>
      </c>
      <c r="J5" s="13" t="n">
        <v>56</v>
      </c>
      <c r="K5" s="11" t="n">
        <v>761.04</v>
      </c>
    </row>
    <row r="6">
      <c r="A6" s="10" t="inlineStr">
        <is>
          <t>2026-07-09</t>
        </is>
      </c>
      <c r="B6" s="11" t="n">
        <v>43342.39</v>
      </c>
      <c r="C6" s="13" t="n">
        <v>258075</v>
      </c>
      <c r="D6" s="13" t="n">
        <v>206133</v>
      </c>
      <c r="E6" s="13" t="n">
        <v>6024</v>
      </c>
      <c r="F6" s="14" t="n">
        <v>0.0233</v>
      </c>
      <c r="G6" s="11" t="n">
        <v>7.19</v>
      </c>
      <c r="H6" s="11" t="n">
        <v>167.94</v>
      </c>
      <c r="I6" s="15" t="n">
        <v>3.87</v>
      </c>
      <c r="J6" s="13" t="n">
        <v>66</v>
      </c>
      <c r="K6" s="11" t="n">
        <v>656.7</v>
      </c>
    </row>
    <row r="7">
      <c r="A7" s="10" t="inlineStr">
        <is>
          <t>2026-07-10</t>
        </is>
      </c>
      <c r="B7" s="11" t="n">
        <v>41607.98</v>
      </c>
      <c r="C7" s="13" t="n">
        <v>247234</v>
      </c>
      <c r="D7" s="13" t="n">
        <v>207925</v>
      </c>
      <c r="E7" s="13" t="n">
        <v>5570</v>
      </c>
      <c r="F7" s="14" t="n">
        <v>0.0225</v>
      </c>
      <c r="G7" s="11" t="n">
        <v>7.47</v>
      </c>
      <c r="H7" s="11" t="n">
        <v>168.29</v>
      </c>
      <c r="I7" s="15" t="n">
        <v>2.7</v>
      </c>
      <c r="J7" s="13" t="n">
        <v>47</v>
      </c>
      <c r="K7" s="11" t="n">
        <v>885.28</v>
      </c>
    </row>
    <row r="8">
      <c r="A8" s="10" t="inlineStr">
        <is>
          <t>2026-07-11</t>
        </is>
      </c>
      <c r="B8" s="11" t="n">
        <v>35653.1</v>
      </c>
      <c r="C8" s="13" t="n">
        <v>216060</v>
      </c>
      <c r="D8" s="13" t="n">
        <v>180186</v>
      </c>
      <c r="E8" s="13" t="n">
        <v>4684</v>
      </c>
      <c r="F8" s="14" t="n">
        <v>0.0217</v>
      </c>
      <c r="G8" s="11" t="n">
        <v>7.61</v>
      </c>
      <c r="H8" s="11" t="n">
        <v>165.01</v>
      </c>
      <c r="I8" s="15" t="n">
        <v>3.49</v>
      </c>
      <c r="J8" s="13" t="n">
        <v>53</v>
      </c>
      <c r="K8" s="11" t="n">
        <v>672.7</v>
      </c>
    </row>
    <row r="9">
      <c r="A9" s="10" t="inlineStr">
        <is>
          <t>2026-07-12</t>
        </is>
      </c>
      <c r="B9" s="11" t="n">
        <v>47572.44</v>
      </c>
      <c r="C9" s="13" t="n">
        <v>259220</v>
      </c>
      <c r="D9" s="13" t="n">
        <v>214990</v>
      </c>
      <c r="E9" s="13" t="n">
        <v>5765</v>
      </c>
      <c r="F9" s="14" t="n">
        <v>0.0222</v>
      </c>
      <c r="G9" s="11" t="n">
        <v>8.25</v>
      </c>
      <c r="H9" s="11" t="n">
        <v>183.52</v>
      </c>
      <c r="I9" s="15" t="n">
        <v>5.45</v>
      </c>
      <c r="J9" s="13" t="n">
        <v>84</v>
      </c>
      <c r="K9" s="11" t="n">
        <v>566.34</v>
      </c>
    </row>
  </sheetData>
  <autoFilter ref="A1:K9"/>
  <conditionalFormatting sqref="I2:I9">
    <cfRule type="colorScale" priority="1">
      <colorScale>
        <cfvo type="num" val="1"/>
        <cfvo type="num" val="3.5"/>
        <cfvo type="num" val="6"/>
        <color rgb="00FFC7CE"/>
        <color rgb="00FFF3B0"/>
        <color rgb="00C6EFCE"/>
      </colorScale>
    </cfRule>
  </conditionalFormatting>
  <conditionalFormatting sqref="B2:B9">
    <cfRule type="colorScale" priority="2">
      <colorScale>
        <cfvo type="min"/>
        <cfvo type="max"/>
        <color rgb="00FFFFFF"/>
        <color rgb="00FDBE85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0" customWidth="1" min="4" max="4"/>
  </cols>
  <sheetData>
    <row r="1" ht="22" customHeight="1">
      <c r="A1" s="3" t="inlineStr">
        <is>
          <t>Top-Selling Products — 2026-07-12</t>
        </is>
      </c>
      <c r="B1" s="4" t="n"/>
      <c r="C1" s="4" t="n"/>
      <c r="D1" s="4" t="n"/>
    </row>
    <row r="2">
      <c r="A2" s="9" t="inlineStr">
        <is>
          <t>Product</t>
        </is>
      </c>
      <c r="B2" s="9" t="inlineStr">
        <is>
          <t>Gross Sales</t>
        </is>
      </c>
      <c r="C2" s="9" t="inlineStr">
        <is>
          <t>Net Sales</t>
        </is>
      </c>
      <c r="D2" s="9" t="inlineStr">
        <is>
          <t>Orders</t>
        </is>
      </c>
    </row>
    <row r="3">
      <c r="A3" s="10" t="inlineStr">
        <is>
          <t>Ira Rayon Co-ord Set for Women | Relaxed Fit Shirt Top with Draped Pants</t>
        </is>
      </c>
      <c r="B3" s="11" t="n">
        <v>52479</v>
      </c>
      <c r="C3" s="11" t="n">
        <v>52229.1</v>
      </c>
      <c r="D3" s="10" t="n">
        <v>18</v>
      </c>
    </row>
    <row r="4">
      <c r="A4" s="10" t="inlineStr">
        <is>
          <t>"The Essential" - White Cotton Shirt &amp; Pant Co-ord Set</t>
        </is>
      </c>
      <c r="B4" s="11" t="n">
        <v>46777</v>
      </c>
      <c r="C4" s="11" t="n">
        <v>46677.05</v>
      </c>
      <c r="D4" s="10" t="n">
        <v>20</v>
      </c>
    </row>
    <row r="5">
      <c r="A5" s="10" t="inlineStr">
        <is>
          <t>"Aina" - Ivory Breathable Cotton Mirror Work Coord Set</t>
        </is>
      </c>
      <c r="B5" s="11" t="n">
        <v>19794</v>
      </c>
      <c r="C5" s="11" t="n">
        <v>0</v>
      </c>
      <c r="D5" s="10" t="n">
        <v>3</v>
      </c>
    </row>
    <row r="6">
      <c r="A6" s="10" t="inlineStr">
        <is>
          <t>"Aura" - Cream Lightweight Breathable Lace-Detail Suit Set</t>
        </is>
      </c>
      <c r="B6" s="11" t="n">
        <v>16495</v>
      </c>
      <c r="C6" s="11" t="n">
        <v>0</v>
      </c>
      <c r="D6" s="10" t="n">
        <v>3</v>
      </c>
    </row>
    <row r="7">
      <c r="A7" s="10" t="inlineStr">
        <is>
          <t>"Maira" — Premium Pure Cotton Minimalist Co-ord Set</t>
        </is>
      </c>
      <c r="B7" s="11" t="n">
        <v>9996</v>
      </c>
      <c r="C7" s="11" t="n">
        <v>9996</v>
      </c>
      <c r="D7" s="10" t="n">
        <v>2</v>
      </c>
    </row>
    <row r="8">
      <c r="A8" s="10" t="inlineStr">
        <is>
          <t>Elegant Pakistani-Style Mauve Kurta Set</t>
        </is>
      </c>
      <c r="B8" s="11" t="n">
        <v>9995</v>
      </c>
      <c r="C8" s="11" t="n">
        <v>7996</v>
      </c>
      <c r="D8" s="10" t="n">
        <v>5</v>
      </c>
    </row>
    <row r="9">
      <c r="A9" s="10" t="inlineStr">
        <is>
          <t>"Aradhana" - Rust Red Gota Border Anarkali Suit Set</t>
        </is>
      </c>
      <c r="B9" s="11" t="n">
        <v>8997</v>
      </c>
      <c r="C9" s="11" t="n">
        <v>0</v>
      </c>
      <c r="D9" s="10" t="n">
        <v>3</v>
      </c>
    </row>
    <row r="10">
      <c r="A10" s="10" t="inlineStr">
        <is>
          <t>Eclipse Grace Premium Crepe Salwar Suit set | DHIRAI</t>
        </is>
      </c>
      <c r="B10" s="11" t="n">
        <v>8997</v>
      </c>
      <c r="C10" s="11" t="n">
        <v>8997</v>
      </c>
      <c r="D10" s="10" t="n">
        <v>2</v>
      </c>
    </row>
    <row r="11">
      <c r="A11" s="10" t="inlineStr">
        <is>
          <t>The Dhurandhar Black Short Kurta Set | A Dhirai Essential</t>
        </is>
      </c>
      <c r="B11" s="11" t="n">
        <v>8996</v>
      </c>
      <c r="C11" s="11" t="n">
        <v>8996</v>
      </c>
      <c r="D11" s="10" t="n">
        <v>4</v>
      </c>
    </row>
    <row r="12">
      <c r="A12" s="10" t="inlineStr">
        <is>
          <t>Embroidered Rayon Kurti with Farshi Salwar Set — Elegant Ethnic Co-Ord for Women</t>
        </is>
      </c>
      <c r="B12" s="11" t="n">
        <v>8397</v>
      </c>
      <c r="C12" s="11" t="n">
        <v>8257.049999999999</v>
      </c>
      <c r="D12" s="10" t="n">
        <v>3</v>
      </c>
    </row>
    <row r="13">
      <c r="A13" s="10" t="inlineStr">
        <is>
          <t>"Kyra" — Chocolate Brown Premium Rayon Minimalist Co-ord Set</t>
        </is>
      </c>
      <c r="B13" s="11" t="n">
        <v>4998</v>
      </c>
      <c r="C13" s="11" t="n">
        <v>4998</v>
      </c>
      <c r="D13" s="10" t="n">
        <v>2</v>
      </c>
    </row>
    <row r="14">
      <c r="A14" s="10" t="inlineStr">
        <is>
          <t>Sage Aura cotton Kurta Set | DHIRAI</t>
        </is>
      </c>
      <c r="B14" s="11" t="n">
        <v>4198</v>
      </c>
      <c r="C14" s="11" t="n">
        <v>4198</v>
      </c>
      <c r="D14" s="10" t="n">
        <v>2</v>
      </c>
    </row>
    <row r="15">
      <c r="A15" s="10" t="inlineStr">
        <is>
          <t>"Riva" — Premium Flowy Rayon Co-ord Set</t>
        </is>
      </c>
      <c r="B15" s="11" t="n">
        <v>3998</v>
      </c>
      <c r="C15" s="11" t="n">
        <v>3998</v>
      </c>
      <c r="D15" s="10" t="n">
        <v>2</v>
      </c>
    </row>
    <row r="16">
      <c r="A16" s="10" t="inlineStr">
        <is>
          <t>The Essential Co-ord Set</t>
        </is>
      </c>
      <c r="B16" s="11" t="n">
        <v>3998</v>
      </c>
      <c r="C16" s="11" t="n">
        <v>3998</v>
      </c>
      <c r="D16" s="10" t="n">
        <v>2</v>
      </c>
    </row>
    <row r="17">
      <c r="A17" s="10" t="inlineStr">
        <is>
          <t>Black Cotton Kurta Pant Set</t>
        </is>
      </c>
      <c r="B17" s="11" t="n">
        <v>3998</v>
      </c>
      <c r="C17" s="11" t="n">
        <v>3998</v>
      </c>
      <c r="D17" s="10" t="n">
        <v>2</v>
      </c>
    </row>
    <row r="20" ht="22" customHeight="1">
      <c r="A20" s="3" t="inlineStr">
        <is>
          <t>Inventory Watch (Low Stock / Out of Stock) — 2026-07-12</t>
        </is>
      </c>
      <c r="B20" s="4" t="n"/>
      <c r="C20" s="4" t="n"/>
      <c r="D20" s="4" t="n"/>
      <c r="E20" s="4" t="n"/>
    </row>
    <row r="21">
      <c r="A21" s="9" t="inlineStr">
        <is>
          <t>Product</t>
        </is>
      </c>
      <c r="B21" s="9" t="inlineStr">
        <is>
          <t>Starting Units</t>
        </is>
      </c>
      <c r="C21" s="9" t="inlineStr">
        <is>
          <t>Ending Units</t>
        </is>
      </c>
      <c r="D21" s="9" t="inlineStr">
        <is>
          <t>Units Sold</t>
        </is>
      </c>
      <c r="E21" s="9" t="inlineStr">
        <is>
          <t>Status</t>
        </is>
      </c>
    </row>
    <row r="22">
      <c r="A22" s="10" t="inlineStr">
        <is>
          <t>"Zariya" Stone Hoops</t>
        </is>
      </c>
      <c r="B22" s="10" t="n">
        <v>0</v>
      </c>
      <c r="C22" s="10" t="n">
        <v>0</v>
      </c>
      <c r="D22" s="10" t="n">
        <v>0</v>
      </c>
      <c r="E22" s="10" t="inlineStr">
        <is>
          <t>OUT OF STOCK</t>
        </is>
      </c>
    </row>
    <row r="23">
      <c r="A23" s="10" t="inlineStr">
        <is>
          <t>"Utsav" - Mal Cotton Full Flare Anarkali Suit Set with Silver Gota</t>
        </is>
      </c>
      <c r="B23" s="10" t="n">
        <v>0</v>
      </c>
      <c r="C23" s="10" t="n">
        <v>0</v>
      </c>
      <c r="D23" s="10" t="n">
        <v>0</v>
      </c>
      <c r="E23" s="10" t="inlineStr">
        <is>
          <t>OUT OF STOCK</t>
        </is>
      </c>
    </row>
    <row r="24">
      <c r="A24" s="10" t="inlineStr">
        <is>
          <t>Noor Sand Kurta Set| DHIRAI</t>
        </is>
      </c>
      <c r="B24" s="10" t="n">
        <v>47</v>
      </c>
      <c r="C24" s="10" t="n">
        <v>46</v>
      </c>
      <c r="D24" s="10" t="n">
        <v>1</v>
      </c>
      <c r="E24" s="10" t="inlineStr">
        <is>
          <t>LOW (&lt;50)</t>
        </is>
      </c>
    </row>
    <row r="25">
      <c r="A25" s="10" t="inlineStr">
        <is>
          <t>"Nazakat" Long Chain Jhumki Earrings</t>
        </is>
      </c>
      <c r="B25" s="10" t="n">
        <v>150</v>
      </c>
      <c r="C25" s="10" t="n">
        <v>150</v>
      </c>
      <c r="D25" s="10" t="n">
        <v>0</v>
      </c>
      <c r="E25" s="10" t="inlineStr">
        <is>
          <t>WATCH</t>
        </is>
      </c>
    </row>
  </sheetData>
  <autoFilter ref="A2:D17"/>
  <mergeCells count="2">
    <mergeCell ref="A1:D1"/>
    <mergeCell ref="A20:E20"/>
  </mergeCells>
  <conditionalFormatting sqref="B3:B17">
    <cfRule type="colorScale" priority="1">
      <colorScale>
        <cfvo type="min"/>
        <cfvo type="max"/>
        <color rgb="00FFFFFF"/>
        <color rgb="0063B3ED"/>
      </colorScale>
    </cfRule>
  </conditionalFormatting>
  <conditionalFormatting sqref="E22:E25">
    <cfRule type="expression" priority="2" dxfId="1">
      <formula>NOT(ISERROR(SEARCH("OUT OF STOCK",E22)))</formula>
    </cfRule>
    <cfRule type="expression" priority="3" dxfId="2">
      <formula>NOT(ISERROR(SEARCH("LOW",E22)))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3" customWidth="1" min="4" max="4"/>
    <col width="10" customWidth="1" min="5" max="5"/>
    <col width="9" customWidth="1" min="6" max="6"/>
    <col width="9" customWidth="1" min="7" max="7"/>
    <col width="9" customWidth="1" min="8" max="8"/>
    <col width="11" customWidth="1" min="9" max="9"/>
    <col width="14" customWidth="1" min="10" max="10"/>
  </cols>
  <sheetData>
    <row r="1" ht="22" customHeight="1">
      <c r="A1" s="3" t="inlineStr">
        <is>
          <t>Campaign Performance — Yesterday (2026-07-12)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9" t="inlineStr">
        <is>
          <t>Campaign</t>
        </is>
      </c>
      <c r="B2" s="9" t="inlineStr">
        <is>
          <t>Status</t>
        </is>
      </c>
      <c r="C2" s="9" t="inlineStr">
        <is>
          <t>Spend</t>
        </is>
      </c>
      <c r="D2" s="9" t="inlineStr">
        <is>
          <t>Impressions</t>
        </is>
      </c>
      <c r="E2" s="9" t="inlineStr">
        <is>
          <t>Clicks</t>
        </is>
      </c>
      <c r="F2" s="9" t="inlineStr">
        <is>
          <t>CTR</t>
        </is>
      </c>
      <c r="G2" s="9" t="inlineStr">
        <is>
          <t>CPC</t>
        </is>
      </c>
      <c r="H2" s="9" t="inlineStr">
        <is>
          <t>ROAS</t>
        </is>
      </c>
      <c r="I2" s="9" t="inlineStr">
        <is>
          <t>Purchases</t>
        </is>
      </c>
      <c r="J2" s="9" t="inlineStr">
        <is>
          <t>Cost / Purchase</t>
        </is>
      </c>
    </row>
    <row r="3">
      <c r="A3" s="10" t="inlineStr">
        <is>
          <t>New Campaign- for recovery</t>
        </is>
      </c>
      <c r="B3" s="10" t="inlineStr">
        <is>
          <t>ACTIVE</t>
        </is>
      </c>
      <c r="C3" s="11" t="n">
        <v>15542.75</v>
      </c>
      <c r="D3" s="13" t="n">
        <v>121040</v>
      </c>
      <c r="E3" s="13" t="n">
        <v>1435</v>
      </c>
      <c r="F3" s="14" t="n">
        <v>0.0119</v>
      </c>
      <c r="G3" s="11" t="n">
        <v>10.83</v>
      </c>
      <c r="H3" s="15" t="n">
        <v>2.02</v>
      </c>
      <c r="I3" s="13" t="n">
        <v>12</v>
      </c>
      <c r="J3" s="11" t="n">
        <v>1295.23</v>
      </c>
    </row>
    <row r="4">
      <c r="A4" s="10" t="inlineStr">
        <is>
          <t>Dhirai Scale -ASC</t>
        </is>
      </c>
      <c r="B4" s="10" t="inlineStr">
        <is>
          <t>ACTIVE</t>
        </is>
      </c>
      <c r="C4" s="11" t="n">
        <v>13929.41</v>
      </c>
      <c r="D4" s="13" t="n">
        <v>70083</v>
      </c>
      <c r="E4" s="13" t="n">
        <v>1862</v>
      </c>
      <c r="F4" s="14" t="n">
        <v>0.0266</v>
      </c>
      <c r="G4" s="11" t="n">
        <v>7.48</v>
      </c>
      <c r="H4" s="15" t="n">
        <v>6.17</v>
      </c>
      <c r="I4" s="13" t="n">
        <v>35</v>
      </c>
      <c r="J4" s="11" t="n">
        <v>397.98</v>
      </c>
    </row>
    <row r="5">
      <c r="A5" s="10" t="inlineStr">
        <is>
          <t>Black DHURANDHAR</t>
        </is>
      </c>
      <c r="B5" s="10" t="inlineStr">
        <is>
          <t>ACTIVE</t>
        </is>
      </c>
      <c r="C5" s="11" t="n">
        <v>9091.5</v>
      </c>
      <c r="D5" s="13" t="n">
        <v>42207</v>
      </c>
      <c r="E5" s="13" t="n">
        <v>1479</v>
      </c>
      <c r="F5" s="14" t="n">
        <v>0.035</v>
      </c>
      <c r="G5" s="11" t="n">
        <v>6.15</v>
      </c>
      <c r="H5" s="15" t="n">
        <v>4.45</v>
      </c>
      <c r="I5" s="13" t="n">
        <v>12</v>
      </c>
      <c r="J5" s="11" t="n">
        <v>757.63</v>
      </c>
    </row>
    <row r="6">
      <c r="A6" s="10" t="inlineStr">
        <is>
          <t>Retargeting- new</t>
        </is>
      </c>
      <c r="B6" s="10" t="inlineStr">
        <is>
          <t>ACTIVE</t>
        </is>
      </c>
      <c r="C6" s="11" t="n">
        <v>9008.780000000001</v>
      </c>
      <c r="D6" s="13" t="n">
        <v>25890</v>
      </c>
      <c r="E6" s="13" t="n">
        <v>989</v>
      </c>
      <c r="F6" s="14" t="n">
        <v>0.0382</v>
      </c>
      <c r="G6" s="11" t="n">
        <v>9.109999999999999</v>
      </c>
      <c r="H6" s="15" t="n">
        <v>11.27</v>
      </c>
      <c r="I6" s="13" t="n">
        <v>25</v>
      </c>
      <c r="J6" s="11" t="n">
        <v>360.35</v>
      </c>
    </row>
    <row r="9" ht="22" customHeight="1">
      <c r="A9" s="3" t="inlineStr">
        <is>
          <t>Campaign Performance — Previous 7-Day Window (2026-07-05_to_2026-07-11)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9" t="inlineStr">
        <is>
          <t>Campaign</t>
        </is>
      </c>
      <c r="B10" s="9" t="inlineStr">
        <is>
          <t>Status</t>
        </is>
      </c>
      <c r="C10" s="9" t="inlineStr">
        <is>
          <t>Spend</t>
        </is>
      </c>
      <c r="D10" s="9" t="inlineStr">
        <is>
          <t>Impressions</t>
        </is>
      </c>
      <c r="E10" s="9" t="inlineStr">
        <is>
          <t>Clicks</t>
        </is>
      </c>
      <c r="F10" s="9" t="inlineStr">
        <is>
          <t>CTR</t>
        </is>
      </c>
      <c r="G10" s="9" t="inlineStr">
        <is>
          <t>CPC</t>
        </is>
      </c>
      <c r="H10" s="9" t="inlineStr">
        <is>
          <t>ROAS</t>
        </is>
      </c>
      <c r="I10" s="9" t="inlineStr">
        <is>
          <t>Purchases</t>
        </is>
      </c>
      <c r="J10" s="9" t="inlineStr">
        <is>
          <t>Cost / Purchase</t>
        </is>
      </c>
    </row>
    <row r="11">
      <c r="A11" s="10" t="inlineStr">
        <is>
          <t>New Campaign- for recovery</t>
        </is>
      </c>
      <c r="B11" s="10" t="inlineStr">
        <is>
          <t>—</t>
        </is>
      </c>
      <c r="C11" s="11" t="n">
        <v>97987.08</v>
      </c>
      <c r="D11" s="13" t="n">
        <v>819741</v>
      </c>
      <c r="E11" s="13" t="n">
        <v>10561</v>
      </c>
      <c r="F11" s="14" t="n">
        <v>0.0129</v>
      </c>
      <c r="G11" s="11" t="n">
        <v>9.279999999999999</v>
      </c>
      <c r="H11" s="15" t="n">
        <v>2.4</v>
      </c>
      <c r="I11" s="13" t="n">
        <v>94</v>
      </c>
      <c r="J11" s="11" t="n">
        <v>1042.42</v>
      </c>
    </row>
    <row r="12">
      <c r="A12" s="10" t="inlineStr">
        <is>
          <t>Dhirai Scale -ASC</t>
        </is>
      </c>
      <c r="B12" s="10" t="inlineStr">
        <is>
          <t>—</t>
        </is>
      </c>
      <c r="C12" s="11" t="n">
        <v>83964.64</v>
      </c>
      <c r="D12" s="13" t="n">
        <v>479484</v>
      </c>
      <c r="E12" s="13" t="n">
        <v>10772</v>
      </c>
      <c r="F12" s="14" t="n">
        <v>0.0225</v>
      </c>
      <c r="G12" s="11" t="n">
        <v>7.79</v>
      </c>
      <c r="H12" s="15" t="n">
        <v>3.09</v>
      </c>
      <c r="I12" s="13" t="n">
        <v>119</v>
      </c>
      <c r="J12" s="11" t="n">
        <v>705.59</v>
      </c>
    </row>
    <row r="13">
      <c r="A13" s="10" t="inlineStr">
        <is>
          <t>Black DHURANDHAR</t>
        </is>
      </c>
      <c r="B13" s="10" t="inlineStr">
        <is>
          <t>—</t>
        </is>
      </c>
      <c r="C13" s="11" t="n">
        <v>55963.41</v>
      </c>
      <c r="D13" s="13" t="n">
        <v>329131</v>
      </c>
      <c r="E13" s="13" t="n">
        <v>11618</v>
      </c>
      <c r="F13" s="14" t="n">
        <v>0.0353</v>
      </c>
      <c r="G13" s="11" t="n">
        <v>4.82</v>
      </c>
      <c r="H13" s="15" t="n">
        <v>3.55</v>
      </c>
      <c r="I13" s="13" t="n">
        <v>80</v>
      </c>
      <c r="J13" s="11" t="n">
        <v>699.54</v>
      </c>
    </row>
    <row r="14">
      <c r="A14" s="10" t="inlineStr">
        <is>
          <t>Retargeting- new</t>
        </is>
      </c>
      <c r="B14" s="10" t="inlineStr">
        <is>
          <t>—</t>
        </is>
      </c>
      <c r="C14" s="11" t="n">
        <v>53619.16</v>
      </c>
      <c r="D14" s="13" t="n">
        <v>148706</v>
      </c>
      <c r="E14" s="13" t="n">
        <v>6194</v>
      </c>
      <c r="F14" s="14" t="n">
        <v>0.0417</v>
      </c>
      <c r="G14" s="11" t="n">
        <v>8.66</v>
      </c>
      <c r="H14" s="15" t="n">
        <v>5.45</v>
      </c>
      <c r="I14" s="13" t="n">
        <v>118</v>
      </c>
      <c r="J14" s="11" t="n">
        <v>454.4</v>
      </c>
    </row>
    <row r="17" ht="22" customHeight="1">
      <c r="A17" s="3" t="inlineStr">
        <is>
          <t>Delivery Warnings — 2026-07-12</t>
        </is>
      </c>
      <c r="B17" s="4" t="n"/>
      <c r="C17" s="4" t="n"/>
      <c r="D17" s="4" t="n"/>
    </row>
    <row r="18">
      <c r="A18" s="9" t="inlineStr">
        <is>
          <t>Object</t>
        </is>
      </c>
      <c r="B18" s="9" t="inlineStr">
        <is>
          <t>Warning Type</t>
        </is>
      </c>
      <c r="C18" s="9" t="inlineStr">
        <is>
          <t>Detail</t>
        </is>
      </c>
      <c r="D18" s="9" t="inlineStr">
        <is>
          <t>Recommendation</t>
        </is>
      </c>
    </row>
    <row r="19">
      <c r="A19" s="20" t="inlineStr">
        <is>
          <t>Black and multiple (Ad Set)</t>
        </is>
      </c>
      <c r="B19" s="20" t="inlineStr">
        <is>
          <t>active_delivery_narrow_audience</t>
        </is>
      </c>
      <c r="C19" s="20" t="inlineStr">
        <is>
          <t>Estimated audience size 20,900-24,600 (narrow)</t>
        </is>
      </c>
      <c r="D19" s="20" t="inlineStr">
        <is>
          <t>Evaluate expanding audience or A/B test using Advantage+ audience</t>
        </is>
      </c>
    </row>
  </sheetData>
  <autoFilter ref="A2:J6"/>
  <mergeCells count="3">
    <mergeCell ref="A1:J1"/>
    <mergeCell ref="A9:J9"/>
    <mergeCell ref="A17:D17"/>
  </mergeCells>
  <conditionalFormatting sqref="H3:H6">
    <cfRule type="cellIs" priority="1" operator="lessThan" dxfId="1">
      <formula>3</formula>
    </cfRule>
    <cfRule type="cellIs" priority="2" operator="greaterThanOrEqual" dxfId="0">
      <formula>5</formula>
    </cfRule>
  </conditionalFormatting>
  <conditionalFormatting sqref="H11:H14">
    <cfRule type="cellIs" priority="3" operator="lessThan" dxfId="1">
      <formula>3</formula>
    </cfRule>
    <cfRule type="cellIs" priority="4" operator="greaterThanOrEqual" dxfId="0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21" t="inlineStr">
        <is>
          <t>Recommendations &amp; Notes</t>
        </is>
      </c>
    </row>
    <row r="2">
      <c r="A2" s="2" t="inlineStr">
        <is>
          <t>Report date: 2026-07-12 (Asia/Kolkata)</t>
        </is>
      </c>
    </row>
    <row r="4" ht="22" customHeight="1">
      <c r="A4" s="3" t="inlineStr">
        <is>
          <t>Key Wins</t>
        </is>
      </c>
      <c r="B4" s="4" t="n"/>
      <c r="C4" s="4" t="n"/>
      <c r="D4" s="4" t="n"/>
      <c r="E4" s="4" t="n"/>
      <c r="F4" s="4" t="n"/>
    </row>
    <row r="5">
      <c r="A5" s="22" t="inlineStr">
        <is>
          <t>✓  Net sales up ~48.9% vs the 7-day average (₹2,21,183 vs ₹1,48,563/day avg), driven by 87 orders — the highest single-day order count in the trailing window.</t>
        </is>
      </c>
    </row>
    <row r="6">
      <c r="A6" s="22" t="inlineStr">
        <is>
          <t>✓  Meta Ads ROAS jumped to 5.45x (vs 3.38x 7-day avg), the best day in the window, with cost/purchase down ~20% to ₹566 and purchases up ~43% to 84.</t>
        </is>
      </c>
    </row>
    <row r="7">
      <c r="A7" s="22" t="inlineStr">
        <is>
          <t>✓  "Retargeting- new" was the standout campaign — 11.27x ROAS and ₹360 cost/purchase, both the best of any campaign yesterday.</t>
        </is>
      </c>
    </row>
    <row r="8">
      <c r="A8" s="22" t="inlineStr">
        <is>
          <t>✓  Top 2 products (Ira Rayon Co-ord Set, "The Essential" Co-ord Set) alone drove ₹99,256 — ~37% of yesterday's gross sales.</t>
        </is>
      </c>
    </row>
    <row r="10" ht="22" customHeight="1">
      <c r="A10" s="3" t="inlineStr">
        <is>
          <t>Key Issues</t>
        </is>
      </c>
      <c r="B10" s="4" t="n"/>
      <c r="C10" s="4" t="n"/>
      <c r="D10" s="4" t="n"/>
      <c r="E10" s="4" t="n"/>
      <c r="F10" s="4" t="n"/>
    </row>
    <row r="11">
      <c r="A11" s="23" t="inlineStr">
        <is>
          <t>⚠  ₹47,285 in Returns/Refunds yesterday (vs ~₹1,035/day avg) — driven almost entirely by 4 VOIDED orders, including 3 from the same customer (Yogesh Martand Aglave, ₹45,286 combined) placed within 2 minutes. Looks like a payment-gateway retry/duplicate-charge failure, not genuine returns.</t>
        </is>
      </c>
    </row>
    <row r="12">
      <c r="A12" s="23" t="inlineStr">
        <is>
          <t>⚠  2 products are OUT OF STOCK ("Zariya" Stone Hoops, "Utsav" Mal Cotton Anarkali Suit Set) and may be losing sales unnoticed.</t>
        </is>
      </c>
    </row>
    <row r="13">
      <c r="A13" s="23" t="inlineStr">
        <is>
          <t>⚠  "New Campaign- for recovery" is the weakest campaign both yesterday (2.02x ROAS, ₹1,295 cost/purchase) and over the past 7 days (2.40x ROAS) despite being the single largest ad spend line (~33% of budget).</t>
        </is>
      </c>
    </row>
    <row r="14">
      <c r="A14" s="23" t="inlineStr">
        <is>
          <t>⚠  Meta flagged the "Black and multiple" ad set for a narrow audience (~20,900–24,600 people) — may be limiting delivery/scale.</t>
        </is>
      </c>
    </row>
    <row r="15">
      <c r="A15" s="23" t="inlineStr">
        <is>
          <t>⚠  Shopify's on-site checkout-funnel tracking looks broken: only 1–2 sessions/day show as reaching or completing checkout vs 50–90 real orders/day. Recommendations here rely on order-level data, not funnel data.</t>
        </is>
      </c>
    </row>
    <row r="17" ht="22" customHeight="1">
      <c r="A17" s="3" t="inlineStr">
        <is>
          <t>Recommended Actions for Today</t>
        </is>
      </c>
      <c r="B17" s="4" t="n"/>
      <c r="C17" s="4" t="n"/>
      <c r="D17" s="4" t="n"/>
      <c r="E17" s="4" t="n"/>
      <c r="F17" s="4" t="n"/>
    </row>
    <row r="18">
      <c r="A18" s="24" t="inlineStr">
        <is>
          <t>1. Investigate the payment gateway for the 4 VOIDED orders yesterday (esp. the 3 rapid-fire attempts from Yogesh Martand Aglave, ₹45,286) — confirm no duplicate charge landed on the customer and check gateway error logs for that window (~23:10–23:12 IST).</t>
        </is>
      </c>
    </row>
    <row r="19">
      <c r="A19" s="24" t="inlineStr">
        <is>
          <t>2. Restock or unpublish "Zariya" Stone Hoops and the "Utsav" Anarkali Suit Set — both are at 0 units and still discoverable on-site.</t>
        </is>
      </c>
    </row>
    <row r="20">
      <c r="A20" s="24" t="inlineStr">
        <is>
          <t>3. Reduce budget on or restructure "New Campaign- for recovery" (consistently ~2–2.4x ROAS, ~2-3x the cost/purchase of other campaigns) and reallocate toward "Retargeting- new" and "Dhirai Scale -ASC", which are outperforming.</t>
        </is>
      </c>
    </row>
    <row r="21">
      <c r="A21" s="24" t="inlineStr">
        <is>
          <t>4. Expand the audience (or enable Advantage+ audience) on the "Black and multiple" ad set to fix the narrow-audience delivery warning.</t>
        </is>
      </c>
    </row>
    <row r="22">
      <c r="A22" s="24" t="inlineStr">
        <is>
          <t>5. Get engineering/analytics to audit the Shopify checkout funnel tracking (GA/pixel setup) — current session data undercounts checkouts by roughly 50-80x versus actual orders, which blocks meaningful conversion-rate analysis.</t>
        </is>
      </c>
    </row>
    <row r="24" ht="22" customHeight="1">
      <c r="A24" s="3" t="inlineStr">
        <is>
          <t>Data Notes / Unavailable Metrics</t>
        </is>
      </c>
      <c r="B24" s="4" t="n"/>
      <c r="C24" s="4" t="n"/>
      <c r="D24" s="4" t="n"/>
      <c r="E24" s="4" t="n"/>
      <c r="F24" s="4" t="n"/>
    </row>
    <row r="25" ht="28" customHeight="1">
      <c r="A25" s="25" t="inlineStr">
        <is>
          <t>•  Cancellations and abandoned-checkout counts could not be pulled as distinct metrics from the Shopify Analytics API this run; refunds/voids are captured under Returns and the Payment Issues table instead.</t>
        </is>
      </c>
    </row>
    <row r="26" ht="28" customHeight="1">
      <c r="A26" s="25" t="inlineStr">
        <is>
          <t>•  Shopify session funnel tracking (reached/completed checkout) shows only 1-2 sessions/day vs 50-90 actual orders daily — likely an analytics/pixel tracking gap, not real conversion performance. Flagged for review, not used in KPI calculations.</t>
        </is>
      </c>
    </row>
  </sheetData>
  <mergeCells count="21">
    <mergeCell ref="A12:F12"/>
    <mergeCell ref="A18:F18"/>
    <mergeCell ref="A26:F26"/>
    <mergeCell ref="A21:F21"/>
    <mergeCell ref="A14:F14"/>
    <mergeCell ref="A5:F5"/>
    <mergeCell ref="A8:F8"/>
    <mergeCell ref="A22:F22"/>
    <mergeCell ref="A17:F17"/>
    <mergeCell ref="A4:F4"/>
    <mergeCell ref="A20:F20"/>
    <mergeCell ref="A10:F10"/>
    <mergeCell ref="A13:F13"/>
    <mergeCell ref="A19:F19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2026-07-13T17:52:01Z</dcterms:created>
  <dcterms:modified xsi:type="dcterms:W3CDTF">2026-07-13T17:52:01Z</dcterms:modified>
</cp:coreProperties>
</file>