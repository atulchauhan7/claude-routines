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Shopify Daily Data" sheetId="2" state="visible" r:id="rId2"/>
    <sheet name="Meta Ads Daily Data" sheetId="3" state="visible" r:id="rId3"/>
    <sheet name="Product Performance" sheetId="4" state="visible" r:id="rId4"/>
    <sheet name="Campaign Performance" sheetId="5" state="visible" r:id="rId5"/>
    <sheet name="Recommendations &amp; Notes" sheetId="6" state="visible" r:id="rId6"/>
  </sheets>
  <definedNames>
    <definedName name="_xlnm._FilterDatabase" localSheetId="1" hidden="1">'Shopify Daily Data'!$A$1:$J$9</definedName>
    <definedName name="_xlnm._FilterDatabase" localSheetId="2" hidden="1">'Meta Ads Daily Data'!$A$1:$K$9</definedName>
    <definedName name="_xlnm._FilterDatabase" localSheetId="3" hidden="1">'Product Performance'!$A$2:$F$17</definedName>
    <definedName name="_xlnm._FilterDatabase" localSheetId="4" hidden="1">'Campaign Performance'!$A$2:$J$6</definedName>
  </definedNames>
  <calcPr calcId="124519" fullCalcOnLoad="1"/>
</workbook>
</file>

<file path=xl/styles.xml><?xml version="1.0" encoding="utf-8"?>
<styleSheet xmlns="http://schemas.openxmlformats.org/spreadsheetml/2006/main">
  <numFmts count="5">
    <numFmt numFmtId="164" formatCode="₹#,##0.00;[RED]-₹#,##0.00;&quot;-&quot;"/>
    <numFmt numFmtId="165" formatCode="0.00%;[RED]-0.00%"/>
    <numFmt numFmtId="166" formatCode="0.00&quot;x&quot;"/>
    <numFmt numFmtId="167" formatCode="₹#,##0;[RED]-₹#,##0;&quot;-&quot;"/>
    <numFmt numFmtId="168" formatCode="0.0%;[RED]-0.0%"/>
  </numFmts>
  <fonts count="9">
    <font>
      <name val="Calibri"/>
      <family val="2"/>
      <color theme="1"/>
      <sz val="11"/>
      <scheme val="minor"/>
    </font>
    <font>
      <name val="Arial"/>
      <b val="1"/>
      <color rgb="00FFFFFF"/>
      <sz val="11"/>
    </font>
    <font>
      <name val="Arial"/>
      <i val="1"/>
      <color rgb="00666666"/>
      <sz val="9"/>
    </font>
    <font>
      <name val="Arial"/>
      <b val="1"/>
      <color rgb="00FFFFFF"/>
      <sz val="13"/>
    </font>
    <font>
      <name val="Arial"/>
      <b val="1"/>
      <color rgb="00FFFFFF"/>
      <sz val="16"/>
    </font>
    <font>
      <name val="Arial"/>
      <b val="1"/>
      <color rgb="002563EB"/>
      <sz val="12"/>
    </font>
    <font>
      <name val="Arial"/>
      <b val="1"/>
      <sz val="10.5"/>
    </font>
    <font>
      <name val="Arial"/>
      <i val="1"/>
      <color rgb="00555555"/>
      <sz val="10"/>
    </font>
    <font>
      <name val="Arial"/>
      <sz val="11"/>
    </font>
  </fonts>
  <fills count="7">
    <fill>
      <patternFill/>
    </fill>
    <fill>
      <patternFill patternType="gray125"/>
    </fill>
    <fill>
      <patternFill patternType="solid">
        <fgColor rgb="001F2937"/>
      </patternFill>
    </fill>
    <fill>
      <patternFill patternType="solid">
        <fgColor rgb="002563EB"/>
      </patternFill>
    </fill>
    <fill>
      <patternFill patternType="solid">
        <fgColor rgb="00F3F4F6"/>
      </patternFill>
    </fill>
    <fill>
      <patternFill patternType="solid">
        <fgColor rgb="001E8449"/>
      </patternFill>
    </fill>
    <fill>
      <patternFill patternType="solid">
        <fgColor rgb="00C0392B"/>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3">
    <xf numFmtId="0" fontId="0" fillId="0" borderId="0" pivotButton="0" quotePrefix="0" xfId="0"/>
    <xf numFmtId="0" fontId="4" fillId="2" borderId="0" applyAlignment="1" pivotButton="0" quotePrefix="0" xfId="0">
      <alignment horizontal="left" vertical="center" indent="1"/>
    </xf>
    <xf numFmtId="0" fontId="7" fillId="4" borderId="0" applyAlignment="1" pivotButton="0" quotePrefix="0" xfId="0">
      <alignment horizontal="left" vertical="center" indent="1"/>
    </xf>
    <xf numFmtId="0" fontId="3" fillId="3" borderId="0" applyAlignment="1" pivotButton="0" quotePrefix="0" xfId="0">
      <alignment horizontal="left" vertical="center" indent="1"/>
    </xf>
    <xf numFmtId="0" fontId="8" fillId="0" borderId="0" applyAlignment="1" pivotButton="0" quotePrefix="0" xfId="0">
      <alignment vertical="top" wrapText="1" indent="1"/>
    </xf>
    <xf numFmtId="0" fontId="6" fillId="4" borderId="1" applyAlignment="1" pivotButton="0" quotePrefix="0" xfId="0">
      <alignment horizontal="center" vertical="center" wrapText="1"/>
    </xf>
    <xf numFmtId="0" fontId="0" fillId="0" borderId="1" pivotButton="0" quotePrefix="0" xfId="0"/>
    <xf numFmtId="167" fontId="0" fillId="0" borderId="1" pivotButton="0" quotePrefix="0" xfId="0"/>
    <xf numFmtId="168" fontId="0" fillId="0" borderId="1" pivotButton="0" quotePrefix="0" xfId="0"/>
    <xf numFmtId="3" fontId="0" fillId="0" borderId="1" pivotButton="0" quotePrefix="0" xfId="0"/>
    <xf numFmtId="165" fontId="0" fillId="0" borderId="1" pivotButton="0" quotePrefix="0" xfId="0"/>
    <xf numFmtId="164" fontId="0" fillId="0" borderId="1" pivotButton="0" quotePrefix="0" xfId="0"/>
    <xf numFmtId="166" fontId="0" fillId="0" borderId="1" pivotButton="0" quotePrefix="0" xfId="0"/>
    <xf numFmtId="0" fontId="3" fillId="5" borderId="0" applyAlignment="1" pivotButton="0" quotePrefix="0" xfId="0">
      <alignment horizontal="left" vertical="center" indent="1"/>
    </xf>
    <xf numFmtId="0" fontId="0" fillId="0" borderId="0" applyAlignment="1" pivotButton="0" quotePrefix="0" xfId="0">
      <alignment vertical="top" wrapText="1" indent="1"/>
    </xf>
    <xf numFmtId="0" fontId="3" fillId="6" borderId="0" applyAlignment="1" pivotButton="0" quotePrefix="0" xfId="0">
      <alignment horizontal="left" vertical="center" indent="1"/>
    </xf>
    <xf numFmtId="0" fontId="1" fillId="2" borderId="1" applyAlignment="1" pivotButton="0" quotePrefix="0" xfId="0">
      <alignment horizontal="center" vertical="center" wrapText="1"/>
    </xf>
    <xf numFmtId="0" fontId="2" fillId="0" borderId="0" pivotButton="0" quotePrefix="0" xfId="0"/>
    <xf numFmtId="0" fontId="3" fillId="3" borderId="0" applyAlignment="1" pivotButton="0" quotePrefix="0" xfId="0">
      <alignment horizontal="left" vertical="center"/>
    </xf>
    <xf numFmtId="0" fontId="4" fillId="2" borderId="0" pivotButton="0" quotePrefix="0" xfId="0"/>
    <xf numFmtId="0" fontId="5" fillId="0" borderId="0" pivotButton="0" quotePrefix="0" xfId="0"/>
    <xf numFmtId="0" fontId="6" fillId="4" borderId="0" pivotButton="0" quotePrefix="0" xfId="0"/>
    <xf numFmtId="0" fontId="0" fillId="0" borderId="0"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2"/>
  <chart>
    <title>
      <tx>
        <rich>
          <a:bodyPr/>
          <a:p>
            <a:pPr>
              <a:defRPr/>
            </a:pPr>
            <a:r>
              <a:t>Sales Trend (Gross Sales, ₹)</a:t>
            </a:r>
          </a:p>
        </rich>
      </tx>
    </title>
    <plotArea>
      <lineChart>
        <grouping val="standard"/>
        <ser>
          <idx val="0"/>
          <order val="0"/>
          <tx>
            <strRef>
              <f>'Shopify Daily Data'!C1</f>
            </strRef>
          </tx>
          <spPr>
            <a:ln>
              <a:prstDash val="solid"/>
            </a:ln>
          </spPr>
          <marker>
            <symbol val="none"/>
            <spPr>
              <a:ln>
                <a:prstDash val="solid"/>
              </a:ln>
            </spPr>
          </marker>
          <cat>
            <numRef>
              <f>'Shopify Daily Data'!$A$2:$A$9</f>
            </numRef>
          </cat>
          <val>
            <numRef>
              <f>'Shopify Daily Data'!$C$2:$C$9</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Orders Trend</a:t>
            </a:r>
          </a:p>
        </rich>
      </tx>
    </title>
    <plotArea>
      <lineChart>
        <grouping val="standard"/>
        <ser>
          <idx val="0"/>
          <order val="0"/>
          <tx>
            <strRef>
              <f>'Shopify Daily Data'!B1</f>
            </strRef>
          </tx>
          <spPr>
            <a:ln>
              <a:prstDash val="solid"/>
            </a:ln>
          </spPr>
          <marker>
            <symbol val="none"/>
            <spPr>
              <a:ln>
                <a:prstDash val="solid"/>
              </a:ln>
            </spPr>
          </marker>
          <cat>
            <numRef>
              <f>'Shopify Daily Data'!$A$2:$A$9</f>
            </numRef>
          </cat>
          <val>
            <numRef>
              <f>'Shopify Daily Data'!$B$2:$B$9</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Orders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Ad Spend Trend (₹)</a:t>
            </a:r>
          </a:p>
        </rich>
      </tx>
    </title>
    <plotArea>
      <lineChart>
        <grouping val="standard"/>
        <ser>
          <idx val="0"/>
          <order val="0"/>
          <tx>
            <strRef>
              <f>'Meta Ads Daily Data'!B1</f>
            </strRef>
          </tx>
          <spPr>
            <a:ln>
              <a:prstDash val="solid"/>
            </a:ln>
          </spPr>
          <marker>
            <symbol val="none"/>
            <spPr>
              <a:ln>
                <a:prstDash val="solid"/>
              </a:ln>
            </spPr>
          </marker>
          <cat>
            <numRef>
              <f>'Meta Ads Daily Data'!$A$2:$A$9</f>
            </numRef>
          </cat>
          <val>
            <numRef>
              <f>'Meta Ads Daily Data'!$B$2:$B$9</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ROAS Trend</a:t>
            </a:r>
          </a:p>
        </rich>
      </tx>
    </title>
    <plotArea>
      <lineChart>
        <grouping val="standard"/>
        <ser>
          <idx val="0"/>
          <order val="0"/>
          <tx>
            <strRef>
              <f>'Meta Ads Daily Data'!K1</f>
            </strRef>
          </tx>
          <spPr>
            <a:ln>
              <a:prstDash val="solid"/>
            </a:ln>
          </spPr>
          <marker>
            <symbol val="none"/>
            <spPr>
              <a:ln>
                <a:prstDash val="solid"/>
              </a:ln>
            </spPr>
          </marker>
          <cat>
            <numRef>
              <f>'Meta Ads Daily Data'!$A$2:$A$9</f>
            </numRef>
          </cat>
          <val>
            <numRef>
              <f>'Meta Ads Daily Data'!$K$2:$K$9</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ROAS (x)</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Top Products (Yesterday, Gross Sales ₹)</a:t>
            </a:r>
          </a:p>
        </rich>
      </tx>
    </title>
    <plotArea>
      <barChart>
        <barDir val="col"/>
        <grouping val="clustered"/>
        <ser>
          <idx val="0"/>
          <order val="0"/>
          <tx>
            <strRef>
              <f>'Product Performance'!B2</f>
            </strRef>
          </tx>
          <spPr>
            <a:ln>
              <a:prstDash val="solid"/>
            </a:ln>
          </spPr>
          <cat>
            <numRef>
              <f>'Product Performance'!$A$3:$A$10</f>
            </numRef>
          </cat>
          <val>
            <numRef>
              <f>'Product Performance'!$B$3:$B$10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Campaign ROAS (Yesterday)</a:t>
            </a:r>
          </a:p>
        </rich>
      </tx>
    </title>
    <plotArea>
      <barChart>
        <barDir val="col"/>
        <grouping val="clustered"/>
        <ser>
          <idx val="0"/>
          <order val="0"/>
          <tx>
            <strRef>
              <f>'Campaign Performance'!J2</f>
            </strRef>
          </tx>
          <spPr>
            <a:ln>
              <a:prstDash val="solid"/>
            </a:ln>
          </spPr>
          <cat>
            <numRef>
              <f>'Campaign Performance'!$A$3:$A$6</f>
            </numRef>
          </cat>
          <val>
            <numRef>
              <f>'Campaign Performance'!$J$3:$J$6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ROAS (x)</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47</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47</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63</row>
      <rowOff>0</rowOff>
    </from>
    <ext cx="5400000" cy="270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63</row>
      <rowOff>0</rowOff>
    </from>
    <ext cx="5400000" cy="270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79</row>
      <rowOff>0</rowOff>
    </from>
    <ext cx="5400000" cy="288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79</row>
      <rowOff>0</rowOff>
    </from>
    <ext cx="5400000" cy="2880000"/>
    <graphicFrame>
      <nvGraphicFramePr>
        <cNvPr id="6" name="Chart 6"/>
        <cNvGraphicFramePr/>
      </nvGraphicFramePr>
      <xfrm/>
      <a:graphic>
        <a:graphicData uri="http://schemas.openxmlformats.org/drawingml/2006/chart">
          <c:chart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5"/>
  <sheetViews>
    <sheetView showGridLines="0" workbookViewId="0">
      <pane ySplit="2" topLeftCell="A3" activePane="bottomLeft" state="frozen"/>
      <selection pane="bottomLeft" activeCell="A1" sqref="A1"/>
    </sheetView>
  </sheetViews>
  <sheetFormatPr baseColWidth="8" defaultRowHeight="15"/>
  <cols>
    <col width="26" customWidth="1" min="1" max="1"/>
    <col width="18" customWidth="1" min="2" max="2"/>
    <col width="18" customWidth="1" min="3" max="3"/>
    <col width="16" customWidth="1" min="4" max="4"/>
    <col width="4" customWidth="1" min="5" max="5"/>
    <col width="26" customWidth="1" min="6" max="6"/>
    <col width="18" customWidth="1" min="7" max="7"/>
    <col width="18" customWidth="1" min="8" max="8"/>
    <col width="16" customWidth="1" min="9" max="9"/>
  </cols>
  <sheetData>
    <row r="1" ht="30" customHeight="1">
      <c r="A1" s="1" t="inlineStr">
        <is>
          <t>DAILY STORE &amp; ADS PERFORMANCE DASHBOARD</t>
        </is>
      </c>
    </row>
    <row r="2" ht="20" customHeight="1">
      <c r="A2" s="2" t="inlineStr">
        <is>
          <t>Report Date: 2026-07-17 (Asia/Kolkata)  |  Store: Dhirai (dhirai.in)  |  Generated: 2026-07-18</t>
        </is>
      </c>
    </row>
    <row r="4" ht="24" customHeight="1">
      <c r="A4" s="3" t="inlineStr">
        <is>
          <t>EXECUTIVE SUMMARY</t>
        </is>
      </c>
    </row>
    <row r="5" ht="18" customHeight="1">
      <c r="A5" s="4" t="inlineStr">
        <is>
          <t>Strong day: gross sales +14.8% and orders +18.5% vs the trailing 7-day average, while Meta Ads got more efficient (CPC ~-24%, cost/purchase ~-16%, ROAS 4.06x vs a 3.62x avg). "Black DHURANDHAR" is the standout campaign (5.03x ROAS); "New Campaign- for recovery" is the lone underperformer (2.91x ROAS, lowest CTR). Watch stock-outs on the "Nritya" Anarkali line and the narrow-audience warning on ad set "Black and multiple". (Dashboard formulas pull live from the data tabs and recalculate automatically once opened in Excel/Sheets.)</t>
        </is>
      </c>
    </row>
    <row r="6" ht="18" customHeight="1"/>
    <row r="7" ht="18" customHeight="1"/>
    <row r="9" ht="24" customHeight="1">
      <c r="A9" s="3" t="inlineStr">
        <is>
          <t>SHOPIFY PERFORMANCE — Yesterday vs Prior 7-Day Average</t>
        </is>
      </c>
    </row>
    <row r="10" ht="18" customHeight="1">
      <c r="A10" s="5" t="inlineStr">
        <is>
          <t>Metric</t>
        </is>
      </c>
      <c r="B10" s="5" t="inlineStr">
        <is>
          <t>Yesterday</t>
        </is>
      </c>
      <c r="C10" s="5" t="inlineStr">
        <is>
          <t>7-Day Avg</t>
        </is>
      </c>
      <c r="D10" s="5" t="inlineStr">
        <is>
          <t>Change vs Avg</t>
        </is>
      </c>
    </row>
    <row r="11">
      <c r="A11" s="6" t="inlineStr">
        <is>
          <t>Gross Sales</t>
        </is>
      </c>
      <c r="B11" s="7">
        <f>INDEX('Shopify Daily Data'!C:C,COUNTA('Shopify Daily Data'!$A:$A))</f>
        <v/>
      </c>
      <c r="C11" s="7">
        <f>AVERAGE(OFFSET('Shopify Daily Data'!C1,COUNTA('Shopify Daily Data'!$A:$A)-8,0,7,1))</f>
        <v/>
      </c>
      <c r="D11" s="8">
        <f>(B11-C11)/C11</f>
        <v/>
      </c>
    </row>
    <row r="12">
      <c r="A12" s="6" t="inlineStr">
        <is>
          <t>Net Sales</t>
        </is>
      </c>
      <c r="B12" s="7">
        <f>INDEX('Shopify Daily Data'!F:F,COUNTA('Shopify Daily Data'!$A:$A))</f>
        <v/>
      </c>
      <c r="C12" s="7">
        <f>AVERAGE(OFFSET('Shopify Daily Data'!F1,COUNTA('Shopify Daily Data'!$A:$A)-8,0,7,1))</f>
        <v/>
      </c>
      <c r="D12" s="8">
        <f>(B12-C12)/C12</f>
        <v/>
      </c>
    </row>
    <row r="13">
      <c r="A13" s="6" t="inlineStr">
        <is>
          <t>Orders</t>
        </is>
      </c>
      <c r="B13" s="9">
        <f>INDEX('Shopify Daily Data'!B:B,COUNTA('Shopify Daily Data'!$A:$A))</f>
        <v/>
      </c>
      <c r="C13" s="9">
        <f>AVERAGE(OFFSET('Shopify Daily Data'!B1,COUNTA('Shopify Daily Data'!$A:$A)-8,0,7,1))</f>
        <v/>
      </c>
      <c r="D13" s="8">
        <f>(B13-C13)/C13</f>
        <v/>
      </c>
    </row>
    <row r="14">
      <c r="A14" s="6" t="inlineStr">
        <is>
          <t>Average Order Value</t>
        </is>
      </c>
      <c r="B14" s="7">
        <f>INDEX('Shopify Daily Data'!J:J,COUNTA('Shopify Daily Data'!$A:$A))</f>
        <v/>
      </c>
      <c r="C14" s="7">
        <f>AVERAGE(OFFSET('Shopify Daily Data'!J1,COUNTA('Shopify Daily Data'!$A:$A)-8,0,7,1))</f>
        <v/>
      </c>
      <c r="D14" s="8">
        <f>(B14-C14)/C14</f>
        <v/>
      </c>
    </row>
    <row r="16" ht="24" customHeight="1">
      <c r="A16" s="3" t="inlineStr">
        <is>
          <t>META ADS PERFORMANCE — Yesterday vs Prior 7-Day Average</t>
        </is>
      </c>
    </row>
    <row r="17" ht="18" customHeight="1">
      <c r="A17" s="5" t="inlineStr">
        <is>
          <t>Metric</t>
        </is>
      </c>
      <c r="B17" s="5" t="inlineStr">
        <is>
          <t>Yesterday</t>
        </is>
      </c>
      <c r="C17" s="5" t="inlineStr">
        <is>
          <t>7-Day Avg</t>
        </is>
      </c>
      <c r="D17" s="5" t="inlineStr">
        <is>
          <t>Change vs Avg</t>
        </is>
      </c>
    </row>
    <row r="18">
      <c r="A18" s="6" t="inlineStr">
        <is>
          <t>Total Spend</t>
        </is>
      </c>
      <c r="B18" s="7">
        <f>INDEX('Meta Ads Daily Data'!B:B,COUNTA('Meta Ads Daily Data'!$A:$A))</f>
        <v/>
      </c>
      <c r="C18" s="7">
        <f>AVERAGE(OFFSET('Meta Ads Daily Data'!B1,COUNTA('Meta Ads Daily Data'!$A:$A)-8,0,7,1))</f>
        <v/>
      </c>
      <c r="D18" s="8">
        <f>(B18-C18)/C18</f>
        <v/>
      </c>
    </row>
    <row r="19">
      <c r="A19" s="6" t="inlineStr">
        <is>
          <t>Impressions</t>
        </is>
      </c>
      <c r="B19" s="9">
        <f>INDEX('Meta Ads Daily Data'!C:C,COUNTA('Meta Ads Daily Data'!$A:$A))</f>
        <v/>
      </c>
      <c r="C19" s="9">
        <f>AVERAGE(OFFSET('Meta Ads Daily Data'!C1,COUNTA('Meta Ads Daily Data'!$A:$A)-8,0,7,1))</f>
        <v/>
      </c>
      <c r="D19" s="8">
        <f>(B19-C19)/C19</f>
        <v/>
      </c>
    </row>
    <row r="20">
      <c r="A20" s="6" t="inlineStr">
        <is>
          <t>Clicks</t>
        </is>
      </c>
      <c r="B20" s="9">
        <f>INDEX('Meta Ads Daily Data'!E:E,COUNTA('Meta Ads Daily Data'!$A:$A))</f>
        <v/>
      </c>
      <c r="C20" s="9">
        <f>AVERAGE(OFFSET('Meta Ads Daily Data'!E1,COUNTA('Meta Ads Daily Data'!$A:$A)-8,0,7,1))</f>
        <v/>
      </c>
      <c r="D20" s="8">
        <f>(B20-C20)/C20</f>
        <v/>
      </c>
    </row>
    <row r="21">
      <c r="A21" s="6" t="inlineStr">
        <is>
          <t>CTR</t>
        </is>
      </c>
      <c r="B21" s="10">
        <f>INDEX('Meta Ads Daily Data'!F:F,COUNTA('Meta Ads Daily Data'!$A:$A))</f>
        <v/>
      </c>
      <c r="C21" s="10">
        <f>AVERAGE(OFFSET('Meta Ads Daily Data'!F1,COUNTA('Meta Ads Daily Data'!$A:$A)-8,0,7,1))</f>
        <v/>
      </c>
      <c r="D21" s="8">
        <f>(B21-C21)/C21</f>
        <v/>
      </c>
    </row>
    <row r="22">
      <c r="A22" s="6" t="inlineStr">
        <is>
          <t>CPC</t>
        </is>
      </c>
      <c r="B22" s="11">
        <f>INDEX('Meta Ads Daily Data'!G:G,COUNTA('Meta Ads Daily Data'!$A:$A))</f>
        <v/>
      </c>
      <c r="C22" s="11">
        <f>AVERAGE(OFFSET('Meta Ads Daily Data'!G1,COUNTA('Meta Ads Daily Data'!$A:$A)-8,0,7,1))</f>
        <v/>
      </c>
      <c r="D22" s="8">
        <f>(B22-C22)/C22</f>
        <v/>
      </c>
    </row>
    <row r="23">
      <c r="A23" s="6" t="inlineStr">
        <is>
          <t>Purchases</t>
        </is>
      </c>
      <c r="B23" s="9">
        <f>INDEX('Meta Ads Daily Data'!I:I,COUNTA('Meta Ads Daily Data'!$A:$A))</f>
        <v/>
      </c>
      <c r="C23" s="9">
        <f>AVERAGE(OFFSET('Meta Ads Daily Data'!I1,COUNTA('Meta Ads Daily Data'!$A:$A)-8,0,7,1))</f>
        <v/>
      </c>
      <c r="D23" s="8">
        <f>(B23-C23)/C23</f>
        <v/>
      </c>
    </row>
    <row r="24">
      <c r="A24" s="6" t="inlineStr">
        <is>
          <t>Cost per Purchase</t>
        </is>
      </c>
      <c r="B24" s="7">
        <f>INDEX('Meta Ads Daily Data'!J:J,COUNTA('Meta Ads Daily Data'!$A:$A))</f>
        <v/>
      </c>
      <c r="C24" s="7">
        <f>AVERAGE(OFFSET('Meta Ads Daily Data'!J1,COUNTA('Meta Ads Daily Data'!$A:$A)-8,0,7,1))</f>
        <v/>
      </c>
      <c r="D24" s="8">
        <f>(B24-C24)/C24</f>
        <v/>
      </c>
    </row>
    <row r="25">
      <c r="A25" s="6" t="inlineStr">
        <is>
          <t>Blended ROAS</t>
        </is>
      </c>
      <c r="B25" s="12">
        <f>INDEX('Meta Ads Daily Data'!K:K,COUNTA('Meta Ads Daily Data'!$A:$A))</f>
        <v/>
      </c>
      <c r="C25" s="12">
        <f>AVERAGE(OFFSET('Meta Ads Daily Data'!K1,COUNTA('Meta Ads Daily Data'!$A:$A)-8,0,7,1))</f>
        <v/>
      </c>
      <c r="D25" s="8">
        <f>(B25-C25)/C25</f>
        <v/>
      </c>
    </row>
    <row r="28" ht="24" customHeight="1">
      <c r="A28" s="13" t="inlineStr">
        <is>
          <t>KEY WINS</t>
        </is>
      </c>
    </row>
    <row r="29" ht="28" customHeight="1">
      <c r="A29" s="14" t="inlineStr">
        <is>
          <t>✅  Revenue up 14.8% vs 7-day avg (₹1,88,169 vs ₹1,63,941 avg) with orders up 18.5% (74 vs 62.4 avg).</t>
        </is>
      </c>
    </row>
    <row r="30" ht="28" customHeight="1">
      <c r="A30" s="14" t="inlineStr">
        <is>
          <t>✅  Meta Ads efficiency improved: CPC down ~24% (₹5.89 vs ₹7.76 avg), cost/purchase down ~16% (₹615 vs ₹730 avg), blended ROAS up to 4.06x from a 3.62x avg (+12%).</t>
        </is>
      </c>
    </row>
    <row r="31" ht="28" customHeight="1">
      <c r="A31" s="14" t="inlineStr">
        <is>
          <t>✅  "Black DHURANDHAR" campaign jumped to a 5.03x ROAS (best of all 4 campaigns) from a 7-day average of 3.08x.</t>
        </is>
      </c>
    </row>
    <row r="32" ht="28" customHeight="1">
      <c r="A32" s="14" t="inlineStr">
        <is>
          <t>✅  "Ira Rayon Co-ord Set" was the top seller (₹44,982 gross, 18 units) — consistently a top-3 performer.</t>
        </is>
      </c>
    </row>
    <row r="34" ht="24" customHeight="1">
      <c r="A34" s="15" t="inlineStr">
        <is>
          <t>KEY ISSUES</t>
        </is>
      </c>
    </row>
    <row r="35" ht="28" customHeight="1">
      <c r="A35" s="14" t="inlineStr">
        <is>
          <t>⚠️  "New Campaign- for recovery" is the weakest performer: ROAS only 2.91x and lowest CTR at 1.09% (vs 3.2-3.6% on other campaigns); CPC ₹7.79 is the highest of the 4.</t>
        </is>
      </c>
    </row>
    <row r="36" ht="28" customHeight="1">
      <c r="A36" s="14" t="inlineStr">
        <is>
          <t>⚠️  Ad set "Black and multiple" flagged by Meta for a narrow audience (est. reach 22,700-26,700) while actively delivering — may be limiting scale and inflating costs.</t>
        </is>
      </c>
    </row>
    <row r="37" ht="28" customHeight="1">
      <c r="A37" s="14" t="inlineStr">
        <is>
          <t>⚠️  25+ product variants show zero stock (notably the "Nritya" Anarkali Suit Set line across many sizes/colors and "Zariya" Stone Hoops) — risk of wasted ad clicks landing on sold-out items.</t>
        </is>
      </c>
    </row>
    <row r="38" ht="28" customHeight="1">
      <c r="A38" s="14" t="inlineStr">
        <is>
          <t>⚠️  AOV dipped 2.95% vs 7-day avg (₹2,490.78 vs ₹2,566.55) despite higher order volume — mix shifted slightly toward lower-priced items.</t>
        </is>
      </c>
    </row>
    <row r="40" ht="24" customHeight="1">
      <c r="A40" s="3" t="inlineStr">
        <is>
          <t>RECOMMENDED ACTIONS FOR TODAY</t>
        </is>
      </c>
    </row>
    <row r="41" ht="28" customHeight="1">
      <c r="A41" s="14" t="inlineStr">
        <is>
          <t>1.  Scale budget on "Black DHURANDHAR" (5.03x ROAS, 3.63% CTR); reallocate some spend from "New Campaign- for recovery" (2.91x ROAS) until it improves.</t>
        </is>
      </c>
    </row>
    <row r="42" ht="28" customHeight="1">
      <c r="A42" s="14" t="inlineStr">
        <is>
          <t>2.  Enable Advantage+ Audience on "Retargeting- new" and "Black and multiple" ad sets — Meta estimates ~11% lower cost per purchase.</t>
        </is>
      </c>
    </row>
    <row r="43" ht="28" customHeight="1">
      <c r="A43" s="14" t="inlineStr">
        <is>
          <t>3.  Restock or temporarily unpublish the out-of-stock "Nritya" Anarkali Suit Set variants and "Zariya" Stone Hoops to stop paid traffic from hitting sold-out pages.</t>
        </is>
      </c>
    </row>
    <row r="44" ht="28" customHeight="1">
      <c r="A44" s="14" t="inlineStr">
        <is>
          <t>4.  Consolidate the fragmented ad sets inside "New Campaign- for recovery" per Meta's fragmentation warning (est. +6 pt opportunity score, more sales at the same spend).</t>
        </is>
      </c>
    </row>
    <row r="45" ht="28" customHeight="1">
      <c r="A45" s="14" t="inlineStr">
        <is>
          <t>5.  Verify Shopify's abandoned-checkout recovery email flow is active — could not be measured this run (see Unavailable Metrics below).</t>
        </is>
      </c>
    </row>
  </sheetData>
  <mergeCells count="22">
    <mergeCell ref="A41:I41"/>
    <mergeCell ref="A37:I37"/>
    <mergeCell ref="A9:D9"/>
    <mergeCell ref="A2:I2"/>
    <mergeCell ref="A42:I42"/>
    <mergeCell ref="A32:I32"/>
    <mergeCell ref="A35:I35"/>
    <mergeCell ref="A4:I4"/>
    <mergeCell ref="A38:I38"/>
    <mergeCell ref="A29:I29"/>
    <mergeCell ref="A43:I43"/>
    <mergeCell ref="A5:I7"/>
    <mergeCell ref="A28:I28"/>
    <mergeCell ref="A44:I44"/>
    <mergeCell ref="A40:I40"/>
    <mergeCell ref="A31:I31"/>
    <mergeCell ref="A16:D16"/>
    <mergeCell ref="A34:I34"/>
    <mergeCell ref="A30:I30"/>
    <mergeCell ref="A36:I36"/>
    <mergeCell ref="A1:I1"/>
    <mergeCell ref="A45:I45"/>
  </mergeCells>
  <conditionalFormatting sqref="D11:D14">
    <cfRule type="cellIs" priority="1" operator="greaterThan" dxfId="0">
      <formula>0</formula>
    </cfRule>
    <cfRule type="cellIs" priority="2" operator="lessThan" dxfId="1">
      <formula>0</formula>
    </cfRule>
  </conditionalFormatting>
  <conditionalFormatting sqref="D18:D25">
    <cfRule type="cellIs" priority="3" operator="greaterThan" dxfId="0">
      <formula>0</formula>
    </cfRule>
    <cfRule type="cellIs" priority="4" operator="lessThan" dxfId="1">
      <formula>0</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14" customWidth="1" min="3" max="3"/>
    <col width="12" customWidth="1" min="4" max="4"/>
    <col width="11" customWidth="1" min="5" max="5"/>
    <col width="14" customWidth="1" min="6" max="6"/>
    <col width="11" customWidth="1" min="7" max="7"/>
    <col width="10" customWidth="1" min="8" max="8"/>
    <col width="13" customWidth="1" min="9" max="9"/>
    <col width="11" customWidth="1" min="10" max="10"/>
  </cols>
  <sheetData>
    <row r="1" ht="20" customHeight="1">
      <c r="A1" s="16" t="inlineStr">
        <is>
          <t>Date</t>
        </is>
      </c>
      <c r="B1" s="16" t="inlineStr">
        <is>
          <t>Orders</t>
        </is>
      </c>
      <c r="C1" s="16" t="inlineStr">
        <is>
          <t>Gross Sales</t>
        </is>
      </c>
      <c r="D1" s="16" t="inlineStr">
        <is>
          <t>Discounts</t>
        </is>
      </c>
      <c r="E1" s="16" t="inlineStr">
        <is>
          <t>Returns</t>
        </is>
      </c>
      <c r="F1" s="16" t="inlineStr">
        <is>
          <t>Net Sales</t>
        </is>
      </c>
      <c r="G1" s="16" t="inlineStr">
        <is>
          <t>Shipping</t>
        </is>
      </c>
      <c r="H1" s="16" t="inlineStr">
        <is>
          <t>Taxes</t>
        </is>
      </c>
      <c r="I1" s="16" t="inlineStr">
        <is>
          <t>Total Sales</t>
        </is>
      </c>
      <c r="J1" s="16" t="inlineStr">
        <is>
          <t>AOV</t>
        </is>
      </c>
    </row>
    <row r="2">
      <c r="A2" s="6" t="inlineStr">
        <is>
          <t>2026-07-10</t>
        </is>
      </c>
      <c r="B2" s="9" t="n">
        <v>50</v>
      </c>
      <c r="C2" s="11" t="n">
        <v>121913.25</v>
      </c>
      <c r="D2" s="11" t="n">
        <v>1613.22</v>
      </c>
      <c r="E2" s="11" t="n">
        <v>0</v>
      </c>
      <c r="F2" s="11">
        <f>C2-D2-E2</f>
        <v/>
      </c>
      <c r="G2" s="11" t="n">
        <v>0</v>
      </c>
      <c r="H2" s="11" t="n">
        <v>533.75</v>
      </c>
      <c r="I2" s="11">
        <f>F2+G2+H2</f>
        <v/>
      </c>
      <c r="J2" s="11" t="n">
        <v>2406</v>
      </c>
    </row>
    <row r="3">
      <c r="A3" s="6" t="inlineStr">
        <is>
          <t>2026-07-11</t>
        </is>
      </c>
      <c r="B3" s="9" t="n">
        <v>55</v>
      </c>
      <c r="C3" s="11" t="n">
        <v>130491</v>
      </c>
      <c r="D3" s="11" t="n">
        <v>1759.27</v>
      </c>
      <c r="E3" s="11" t="n">
        <v>0</v>
      </c>
      <c r="F3" s="11">
        <f>C3-D3-E3</f>
        <v/>
      </c>
      <c r="G3" s="11" t="n">
        <v>0</v>
      </c>
      <c r="H3" s="11" t="n">
        <v>0</v>
      </c>
      <c r="I3" s="11">
        <f>F3+G3+H3</f>
        <v/>
      </c>
      <c r="J3" s="11" t="n">
        <v>2340.58</v>
      </c>
    </row>
    <row r="4">
      <c r="A4" s="6" t="inlineStr">
        <is>
          <t>2026-07-12</t>
        </is>
      </c>
      <c r="B4" s="9" t="n">
        <v>87</v>
      </c>
      <c r="C4" s="11" t="n">
        <v>269307.8</v>
      </c>
      <c r="D4" s="11" t="n">
        <v>839.65</v>
      </c>
      <c r="E4" s="11" t="n">
        <v>47285</v>
      </c>
      <c r="F4" s="11">
        <f>C4-D4-E4</f>
        <v/>
      </c>
      <c r="G4" s="11" t="n">
        <v>0</v>
      </c>
      <c r="H4" s="11" t="n">
        <v>381.2</v>
      </c>
      <c r="I4" s="11">
        <f>F4+G4+H4</f>
        <v/>
      </c>
      <c r="J4" s="11" t="n">
        <v>3085.84</v>
      </c>
    </row>
    <row r="5">
      <c r="A5" s="6" t="inlineStr">
        <is>
          <t>2026-07-13</t>
        </is>
      </c>
      <c r="B5" s="9" t="n">
        <v>55</v>
      </c>
      <c r="C5" s="11" t="n">
        <v>142333.07</v>
      </c>
      <c r="D5" s="11" t="n">
        <v>3105.69</v>
      </c>
      <c r="E5" s="11" t="n">
        <v>0</v>
      </c>
      <c r="F5" s="11">
        <f>C5-D5-E5</f>
        <v/>
      </c>
      <c r="G5" s="11" t="n">
        <v>0</v>
      </c>
      <c r="H5" s="11" t="n">
        <v>304.93</v>
      </c>
      <c r="I5" s="11">
        <f>F5+G5+H5</f>
        <v/>
      </c>
      <c r="J5" s="11" t="n">
        <v>2531.41</v>
      </c>
    </row>
    <row r="6">
      <c r="A6" s="6" t="inlineStr">
        <is>
          <t>2026-07-14</t>
        </is>
      </c>
      <c r="B6" s="9" t="n">
        <v>57</v>
      </c>
      <c r="C6" s="11" t="n">
        <v>144836</v>
      </c>
      <c r="D6" s="11" t="n">
        <v>314.85</v>
      </c>
      <c r="E6" s="11" t="n">
        <v>1999</v>
      </c>
      <c r="F6" s="11">
        <f>C6-D6-E6</f>
        <v/>
      </c>
      <c r="G6" s="11" t="n">
        <v>0</v>
      </c>
      <c r="H6" s="11" t="n">
        <v>0</v>
      </c>
      <c r="I6" s="11">
        <f>F6+G6+H6</f>
        <v/>
      </c>
      <c r="J6" s="11" t="n">
        <v>2535.46</v>
      </c>
    </row>
    <row r="7">
      <c r="A7" s="6" t="inlineStr">
        <is>
          <t>2026-07-15</t>
        </is>
      </c>
      <c r="B7" s="9" t="n">
        <v>64</v>
      </c>
      <c r="C7" s="11" t="n">
        <v>166129</v>
      </c>
      <c r="D7" s="11" t="n">
        <v>1092.05</v>
      </c>
      <c r="E7" s="11" t="n">
        <v>0</v>
      </c>
      <c r="F7" s="11">
        <f>C7-D7-E7</f>
        <v/>
      </c>
      <c r="G7" s="11" t="n">
        <v>0</v>
      </c>
      <c r="H7" s="11" t="n">
        <v>0</v>
      </c>
      <c r="I7" s="11">
        <f>F7+G7+H7</f>
        <v/>
      </c>
      <c r="J7" s="11" t="n">
        <v>2578.7</v>
      </c>
    </row>
    <row r="8">
      <c r="A8" s="6" t="inlineStr">
        <is>
          <t>2026-07-16</t>
        </is>
      </c>
      <c r="B8" s="9" t="n">
        <v>69</v>
      </c>
      <c r="C8" s="11" t="n">
        <v>172575</v>
      </c>
      <c r="D8" s="11" t="n">
        <v>914.6</v>
      </c>
      <c r="E8" s="11" t="n">
        <v>2199</v>
      </c>
      <c r="F8" s="11">
        <f>C8-D8-E8</f>
        <v/>
      </c>
      <c r="G8" s="11" t="n">
        <v>0</v>
      </c>
      <c r="H8" s="11" t="n">
        <v>0</v>
      </c>
      <c r="I8" s="11">
        <f>F8+G8+H8</f>
        <v/>
      </c>
      <c r="J8" s="11" t="n">
        <v>2487.83</v>
      </c>
    </row>
    <row r="9">
      <c r="A9" s="6" t="inlineStr">
        <is>
          <t>2026-07-17</t>
        </is>
      </c>
      <c r="B9" s="9" t="n">
        <v>74</v>
      </c>
      <c r="C9" s="11" t="n">
        <v>188169</v>
      </c>
      <c r="D9" s="11" t="n">
        <v>3851.24</v>
      </c>
      <c r="E9" s="11" t="n">
        <v>0</v>
      </c>
      <c r="F9" s="11">
        <f>C9-D9-E9</f>
        <v/>
      </c>
      <c r="G9" s="11" t="n">
        <v>0</v>
      </c>
      <c r="H9" s="11" t="n">
        <v>0</v>
      </c>
      <c r="I9" s="11">
        <f>F9+G9+H9</f>
        <v/>
      </c>
      <c r="J9" s="11" t="n">
        <v>2490.78</v>
      </c>
    </row>
    <row r="11">
      <c r="A11" s="17" t="inlineStr">
        <is>
          <t>Note: Net Sales = Gross Sales − Discounts − Returns. Total Sales = Net Sales + Shipping + Taxes. AOV as reported by Shopify Analytics. Source: Shopify Admin/ShopifyQL, store 36dhns-ed.myshopify.com (Dhirai), timezone Asia/Kolkata.</t>
        </is>
      </c>
    </row>
  </sheetData>
  <autoFilter ref="A1:J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12" customWidth="1" min="4" max="4"/>
    <col width="10" customWidth="1" min="5" max="5"/>
    <col width="9" customWidth="1" min="6" max="6"/>
    <col width="10" customWidth="1" min="7" max="7"/>
    <col width="11" customWidth="1" min="8" max="8"/>
    <col width="11" customWidth="1" min="9" max="9"/>
    <col width="16" customWidth="1" min="10" max="10"/>
    <col width="8" customWidth="1" min="11" max="11"/>
  </cols>
  <sheetData>
    <row r="1" ht="20" customHeight="1">
      <c r="A1" s="16" t="inlineStr">
        <is>
          <t>Date</t>
        </is>
      </c>
      <c r="B1" s="16" t="inlineStr">
        <is>
          <t>Spend</t>
        </is>
      </c>
      <c r="C1" s="16" t="inlineStr">
        <is>
          <t>Impressions</t>
        </is>
      </c>
      <c r="D1" s="16" t="inlineStr">
        <is>
          <t>Reach</t>
        </is>
      </c>
      <c r="E1" s="16" t="inlineStr">
        <is>
          <t>Clicks</t>
        </is>
      </c>
      <c r="F1" s="16" t="inlineStr">
        <is>
          <t>CTR</t>
        </is>
      </c>
      <c r="G1" s="16" t="inlineStr">
        <is>
          <t>CPC</t>
        </is>
      </c>
      <c r="H1" s="16" t="inlineStr">
        <is>
          <t>CPM</t>
        </is>
      </c>
      <c r="I1" s="16" t="inlineStr">
        <is>
          <t>Purchases</t>
        </is>
      </c>
      <c r="J1" s="16" t="inlineStr">
        <is>
          <t>Cost per Purchase</t>
        </is>
      </c>
      <c r="K1" s="16" t="inlineStr">
        <is>
          <t>ROAS</t>
        </is>
      </c>
    </row>
    <row r="2">
      <c r="A2" s="6" t="inlineStr">
        <is>
          <t>2026-07-10</t>
        </is>
      </c>
      <c r="B2" s="11" t="n">
        <v>41607.98</v>
      </c>
      <c r="C2" s="9" t="n">
        <v>247234</v>
      </c>
      <c r="D2" s="9" t="n">
        <v>207925</v>
      </c>
      <c r="E2" s="9" t="n">
        <v>5570</v>
      </c>
      <c r="F2" s="10">
        <f>E2/C2</f>
        <v/>
      </c>
      <c r="G2" s="11">
        <f>B2/E2</f>
        <v/>
      </c>
      <c r="H2" s="11">
        <f>B2/C2*1000</f>
        <v/>
      </c>
      <c r="I2" s="9" t="n">
        <v>47</v>
      </c>
      <c r="J2" s="11">
        <f>B2/I2</f>
        <v/>
      </c>
      <c r="K2" s="12" t="n">
        <v>2.7</v>
      </c>
    </row>
    <row r="3">
      <c r="A3" s="6" t="inlineStr">
        <is>
          <t>2026-07-11</t>
        </is>
      </c>
      <c r="B3" s="11" t="n">
        <v>35653.1</v>
      </c>
      <c r="C3" s="9" t="n">
        <v>216060</v>
      </c>
      <c r="D3" s="9" t="n">
        <v>180186</v>
      </c>
      <c r="E3" s="9" t="n">
        <v>4684</v>
      </c>
      <c r="F3" s="10">
        <f>E3/C3</f>
        <v/>
      </c>
      <c r="G3" s="11">
        <f>B3/E3</f>
        <v/>
      </c>
      <c r="H3" s="11">
        <f>B3/C3*1000</f>
        <v/>
      </c>
      <c r="I3" s="9" t="n">
        <v>53</v>
      </c>
      <c r="J3" s="11">
        <f>B3/I3</f>
        <v/>
      </c>
      <c r="K3" s="12" t="n">
        <v>3.49</v>
      </c>
    </row>
    <row r="4">
      <c r="A4" s="6" t="inlineStr">
        <is>
          <t>2026-07-12</t>
        </is>
      </c>
      <c r="B4" s="11" t="n">
        <v>47584.42</v>
      </c>
      <c r="C4" s="9" t="n">
        <v>259228</v>
      </c>
      <c r="D4" s="9" t="n">
        <v>214990</v>
      </c>
      <c r="E4" s="9" t="n">
        <v>5765</v>
      </c>
      <c r="F4" s="10">
        <f>E4/C4</f>
        <v/>
      </c>
      <c r="G4" s="11">
        <f>B4/E4</f>
        <v/>
      </c>
      <c r="H4" s="11">
        <f>B4/C4*1000</f>
        <v/>
      </c>
      <c r="I4" s="9" t="n">
        <v>84</v>
      </c>
      <c r="J4" s="11">
        <f>B4/I4</f>
        <v/>
      </c>
      <c r="K4" s="12" t="n">
        <v>5.45</v>
      </c>
    </row>
    <row r="5">
      <c r="A5" s="6" t="inlineStr">
        <is>
          <t>2026-07-13</t>
        </is>
      </c>
      <c r="B5" s="11" t="n">
        <v>45884.99</v>
      </c>
      <c r="C5" s="9" t="n">
        <v>236170</v>
      </c>
      <c r="D5" s="9" t="n">
        <v>184417</v>
      </c>
      <c r="E5" s="9" t="n">
        <v>5178</v>
      </c>
      <c r="F5" s="10">
        <f>E5/C5</f>
        <v/>
      </c>
      <c r="G5" s="11">
        <f>B5/E5</f>
        <v/>
      </c>
      <c r="H5" s="11">
        <f>B5/C5*1000</f>
        <v/>
      </c>
      <c r="I5" s="9" t="n">
        <v>54</v>
      </c>
      <c r="J5" s="11">
        <f>B5/I5</f>
        <v/>
      </c>
      <c r="K5" s="12" t="n">
        <v>3</v>
      </c>
    </row>
    <row r="6">
      <c r="A6" s="6" t="inlineStr">
        <is>
          <t>2026-07-14</t>
        </is>
      </c>
      <c r="B6" s="11" t="n">
        <v>44951.34</v>
      </c>
      <c r="C6" s="9" t="n">
        <v>232320</v>
      </c>
      <c r="D6" s="9" t="n">
        <v>189826</v>
      </c>
      <c r="E6" s="9" t="n">
        <v>5440</v>
      </c>
      <c r="F6" s="10">
        <f>E6/C6</f>
        <v/>
      </c>
      <c r="G6" s="11">
        <f>B6/E6</f>
        <v/>
      </c>
      <c r="H6" s="11">
        <f>B6/C6*1000</f>
        <v/>
      </c>
      <c r="I6" s="9" t="n">
        <v>57</v>
      </c>
      <c r="J6" s="11">
        <f>B6/I6</f>
        <v/>
      </c>
      <c r="K6" s="12" t="n">
        <v>3.17</v>
      </c>
    </row>
    <row r="7">
      <c r="A7" s="6" t="inlineStr">
        <is>
          <t>2026-07-15</t>
        </is>
      </c>
      <c r="B7" s="11" t="n">
        <v>43931.17</v>
      </c>
      <c r="C7" s="9" t="n">
        <v>254112</v>
      </c>
      <c r="D7" s="9" t="n">
        <v>199911</v>
      </c>
      <c r="E7" s="9" t="n">
        <v>6195</v>
      </c>
      <c r="F7" s="10">
        <f>E7/C7</f>
        <v/>
      </c>
      <c r="G7" s="11">
        <f>B7/E7</f>
        <v/>
      </c>
      <c r="H7" s="11">
        <f>B7/C7*1000</f>
        <v/>
      </c>
      <c r="I7" s="9" t="n">
        <v>61</v>
      </c>
      <c r="J7" s="11">
        <f>B7/I7</f>
        <v/>
      </c>
      <c r="K7" s="12" t="n">
        <v>3.62</v>
      </c>
    </row>
    <row r="8">
      <c r="A8" s="6" t="inlineStr">
        <is>
          <t>2026-07-16</t>
        </is>
      </c>
      <c r="B8" s="11" t="n">
        <v>43468.39</v>
      </c>
      <c r="C8" s="9" t="n">
        <v>279467</v>
      </c>
      <c r="D8" s="9" t="n">
        <v>216156</v>
      </c>
      <c r="E8" s="9" t="n">
        <v>6412</v>
      </c>
      <c r="F8" s="10">
        <f>E8/C8</f>
        <v/>
      </c>
      <c r="G8" s="11">
        <f>B8/E8</f>
        <v/>
      </c>
      <c r="H8" s="11">
        <f>B8/C8*1000</f>
        <v/>
      </c>
      <c r="I8" s="9" t="n">
        <v>69</v>
      </c>
      <c r="J8" s="11">
        <f>B8/I8</f>
        <v/>
      </c>
      <c r="K8" s="12" t="n">
        <v>3.94</v>
      </c>
    </row>
    <row r="9">
      <c r="A9" s="6" t="inlineStr">
        <is>
          <t>2026-07-17</t>
        </is>
      </c>
      <c r="B9" s="11" t="n">
        <v>44910.35</v>
      </c>
      <c r="C9" s="9" t="n">
        <v>340946</v>
      </c>
      <c r="D9" s="9" t="n">
        <v>263644</v>
      </c>
      <c r="E9" s="9" t="n">
        <v>7625</v>
      </c>
      <c r="F9" s="10">
        <f>E9/C9</f>
        <v/>
      </c>
      <c r="G9" s="11">
        <f>B9/E9</f>
        <v/>
      </c>
      <c r="H9" s="11">
        <f>B9/C9*1000</f>
        <v/>
      </c>
      <c r="I9" s="9" t="n">
        <v>73</v>
      </c>
      <c r="J9" s="11">
        <f>B9/I9</f>
        <v/>
      </c>
      <c r="K9" s="12" t="n">
        <v>4.06</v>
      </c>
    </row>
    <row r="11">
      <c r="A11" s="17" t="inlineStr">
        <is>
          <t>Note: CTR = Clicks/Impressions, CPC = Spend/Clicks, CPM = Spend/Impressions*1000, Cost per Purchase = Spend/Purchases (all formulas). Purchases = Meta 'omni_purchase' action. ROAS is Meta-reported purchase ROAS (value not independently derivable from fields available). Source: Meta Ads Manager, ad account 979830497515712 (Dhirai).</t>
        </is>
      </c>
    </row>
  </sheetData>
  <autoFilter ref="A1:K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pane ySplit="2" topLeftCell="A3" activePane="bottomLeft" state="frozen"/>
      <selection pane="bottomLeft" activeCell="A1" sqref="A1"/>
    </sheetView>
  </sheetViews>
  <sheetFormatPr baseColWidth="8" defaultRowHeight="15"/>
  <cols>
    <col width="55" customWidth="1" min="1" max="1"/>
    <col width="13" customWidth="1" min="2" max="2"/>
    <col width="13" customWidth="1" min="3" max="3"/>
    <col width="9" customWidth="1" min="4" max="4"/>
    <col width="11" customWidth="1" min="5" max="5"/>
    <col width="13" customWidth="1" min="6" max="6"/>
  </cols>
  <sheetData>
    <row r="1" ht="22" customHeight="1">
      <c r="A1" s="18" t="inlineStr">
        <is>
          <t>PRODUCT PERFORMANCE — Snapshot for 2026-07-17 (updated each run)</t>
        </is>
      </c>
    </row>
    <row r="2" ht="20" customHeight="1">
      <c r="A2" s="16" t="inlineStr">
        <is>
          <t>Product</t>
        </is>
      </c>
      <c r="B2" s="16" t="inlineStr">
        <is>
          <t>Gross Sales</t>
        </is>
      </c>
      <c r="C2" s="16" t="inlineStr">
        <is>
          <t>Net Sales</t>
        </is>
      </c>
      <c r="D2" s="16" t="inlineStr">
        <is>
          <t>Orders</t>
        </is>
      </c>
      <c r="E2" s="16" t="inlineStr">
        <is>
          <t>Units Sold</t>
        </is>
      </c>
      <c r="F2" s="16" t="inlineStr">
        <is>
          <t>Avg Item Value</t>
        </is>
      </c>
    </row>
    <row r="3">
      <c r="A3" s="6" t="inlineStr">
        <is>
          <t>Ira Rayon Co-ord Set for Women | Relaxed Fit Shirt Top with Draped Pants</t>
        </is>
      </c>
      <c r="B3" s="11" t="n">
        <v>44982</v>
      </c>
      <c r="C3" s="11" t="n">
        <v>44732.1</v>
      </c>
      <c r="D3" s="9" t="n">
        <v>18</v>
      </c>
      <c r="E3" s="9" t="n">
        <v>18</v>
      </c>
      <c r="F3" s="11">
        <f>B3/D3</f>
        <v/>
      </c>
    </row>
    <row r="4">
      <c r="A4" s="6" t="inlineStr">
        <is>
          <t>"The Essential" - White Cotton Shirt &amp; Pant Co-ord Set</t>
        </is>
      </c>
      <c r="B4" s="11" t="n">
        <v>28386</v>
      </c>
      <c r="C4" s="11" t="n">
        <v>28386</v>
      </c>
      <c r="D4" s="9" t="n">
        <v>13</v>
      </c>
      <c r="E4" s="9" t="n">
        <v>14</v>
      </c>
      <c r="F4" s="11">
        <f>B4/D4</f>
        <v/>
      </c>
    </row>
    <row r="5">
      <c r="A5" s="6" t="inlineStr">
        <is>
          <t>The Dhurandhar Black Short Kurta Set | A Dhirai Essential</t>
        </is>
      </c>
      <c r="B5" s="11" t="n">
        <v>15743</v>
      </c>
      <c r="C5" s="11" t="n">
        <v>15405.65</v>
      </c>
      <c r="D5" s="9" t="n">
        <v>5</v>
      </c>
      <c r="E5" s="9" t="n">
        <v>7</v>
      </c>
      <c r="F5" s="11">
        <f>B5/D5</f>
        <v/>
      </c>
    </row>
    <row r="6">
      <c r="A6" s="6" t="inlineStr">
        <is>
          <t>Embroidered Rayon Kurti with Farshi Salwar Set — Elegant Ethnic Co-Ord for Women</t>
        </is>
      </c>
      <c r="B6" s="11" t="n">
        <v>11196</v>
      </c>
      <c r="C6" s="11" t="n">
        <v>11056.05</v>
      </c>
      <c r="D6" s="9" t="n">
        <v>4</v>
      </c>
      <c r="E6" s="9" t="n">
        <v>4</v>
      </c>
      <c r="F6" s="11">
        <f>B6/D6</f>
        <v/>
      </c>
    </row>
    <row r="7">
      <c r="A7" s="6" t="inlineStr">
        <is>
          <t>Zehra Co-ord set| DHIRAI</t>
        </is>
      </c>
      <c r="B7" s="11" t="n">
        <v>9996</v>
      </c>
      <c r="C7" s="11" t="n">
        <v>9996</v>
      </c>
      <c r="D7" s="9" t="n">
        <v>4</v>
      </c>
      <c r="E7" s="9" t="n">
        <v>4</v>
      </c>
      <c r="F7" s="11">
        <f>B7/D7</f>
        <v/>
      </c>
    </row>
    <row r="8">
      <c r="A8" s="6" t="inlineStr">
        <is>
          <t>Elegant Pakistani-Style Mauve Kurta Set</t>
        </is>
      </c>
      <c r="B8" s="11" t="n">
        <v>8096</v>
      </c>
      <c r="C8" s="11" t="n">
        <v>8096</v>
      </c>
      <c r="D8" s="9" t="n">
        <v>4</v>
      </c>
      <c r="E8" s="9" t="n">
        <v>4</v>
      </c>
      <c r="F8" s="11">
        <f>B8/D8</f>
        <v/>
      </c>
    </row>
    <row r="9">
      <c r="A9" s="6" t="inlineStr">
        <is>
          <t>"Inayat" — Power Pastel Cotton Shirt &amp; Trouser Co-ord Set</t>
        </is>
      </c>
      <c r="B9" s="11" t="n">
        <v>7996</v>
      </c>
      <c r="C9" s="11" t="n">
        <v>7996</v>
      </c>
      <c r="D9" s="9" t="n">
        <v>4</v>
      </c>
      <c r="E9" s="9" t="n">
        <v>4</v>
      </c>
      <c r="F9" s="11">
        <f>B9/D9</f>
        <v/>
      </c>
    </row>
    <row r="10">
      <c r="A10" s="6" t="inlineStr">
        <is>
          <t>Sage Aura cotton Kurta Set | DHIRAI</t>
        </is>
      </c>
      <c r="B10" s="11" t="n">
        <v>4198</v>
      </c>
      <c r="C10" s="11" t="n">
        <v>4198</v>
      </c>
      <c r="D10" s="9" t="n">
        <v>2</v>
      </c>
      <c r="E10" s="9" t="n">
        <v>2</v>
      </c>
      <c r="F10" s="11">
        <f>B10/D10</f>
        <v/>
      </c>
    </row>
    <row r="11">
      <c r="A11" s="6" t="inlineStr">
        <is>
          <t>"Arushi" - Red Georgette Full Flare Anarkali Suit Set with Gold Gota</t>
        </is>
      </c>
      <c r="B11" s="11" t="n">
        <v>3999</v>
      </c>
      <c r="C11" s="11" t="n">
        <v>3999</v>
      </c>
      <c r="D11" s="9" t="n">
        <v>1</v>
      </c>
      <c r="E11" s="9" t="n">
        <v>1</v>
      </c>
      <c r="F11" s="11">
        <f>B11/D11</f>
        <v/>
      </c>
    </row>
    <row r="12">
      <c r="A12" s="6" t="inlineStr">
        <is>
          <t>Premium Cotton Linen Blend Shirt &amp; Pant Coord Set</t>
        </is>
      </c>
      <c r="B12" s="11" t="n">
        <v>3998</v>
      </c>
      <c r="C12" s="11" t="n">
        <v>2734.63</v>
      </c>
      <c r="D12" s="9" t="n">
        <v>1</v>
      </c>
      <c r="E12" s="9" t="n">
        <v>2</v>
      </c>
      <c r="F12" s="11">
        <f>B12/D12</f>
        <v/>
      </c>
    </row>
    <row r="13">
      <c r="A13" s="6" t="inlineStr">
        <is>
          <t>Everyday Elegance Cotton Kurta Pant Set</t>
        </is>
      </c>
      <c r="B13" s="11" t="n">
        <v>3998</v>
      </c>
      <c r="C13" s="11" t="n">
        <v>3998</v>
      </c>
      <c r="D13" s="9" t="n">
        <v>2</v>
      </c>
      <c r="E13" s="9" t="n">
        <v>2</v>
      </c>
      <c r="F13" s="11">
        <f>B13/D13</f>
        <v/>
      </c>
    </row>
    <row r="14">
      <c r="A14" s="6" t="inlineStr">
        <is>
          <t>"Riva" — Premium Flowy Rayon Co-ord Set</t>
        </is>
      </c>
      <c r="B14" s="11" t="n">
        <v>3998</v>
      </c>
      <c r="C14" s="11" t="n">
        <v>3998</v>
      </c>
      <c r="D14" s="9" t="n">
        <v>2</v>
      </c>
      <c r="E14" s="9" t="n">
        <v>2</v>
      </c>
      <c r="F14" s="11">
        <f>B14/D14</f>
        <v/>
      </c>
    </row>
    <row r="15">
      <c r="A15" s="6" t="inlineStr">
        <is>
          <t>Love Note Co-Ord Set</t>
        </is>
      </c>
      <c r="B15" s="11" t="n">
        <v>3499</v>
      </c>
      <c r="C15" s="11" t="n">
        <v>3499</v>
      </c>
      <c r="D15" s="9" t="n">
        <v>1</v>
      </c>
      <c r="E15" s="9" t="n">
        <v>1</v>
      </c>
      <c r="F15" s="11">
        <f>B15/D15</f>
        <v/>
      </c>
    </row>
    <row r="16">
      <c r="A16" s="6" t="inlineStr">
        <is>
          <t>"Indraneel" - Royal Blue Mal Cotton Tiered Anarkali Suit Set</t>
        </is>
      </c>
      <c r="B16" s="11" t="n">
        <v>3499</v>
      </c>
      <c r="C16" s="11" t="n">
        <v>3499</v>
      </c>
      <c r="D16" s="9" t="n">
        <v>1</v>
      </c>
      <c r="E16" s="9" t="n">
        <v>1</v>
      </c>
      <c r="F16" s="11">
        <f>B16/D16</f>
        <v/>
      </c>
    </row>
    <row r="17">
      <c r="A17" s="6" t="inlineStr">
        <is>
          <t>Eclipse Grace Premium Crepe Salwar Suit set | DHIRAI</t>
        </is>
      </c>
      <c r="B17" s="11" t="n">
        <v>2999</v>
      </c>
      <c r="C17" s="11" t="n">
        <v>2999</v>
      </c>
      <c r="D17" s="9" t="n">
        <v>1</v>
      </c>
      <c r="E17" s="9" t="n">
        <v>1</v>
      </c>
      <c r="F17" s="11">
        <f>B17/D17</f>
        <v/>
      </c>
    </row>
    <row r="19">
      <c r="A19" s="17" t="inlineStr">
        <is>
          <t>Snapshot reflects the most recently reviewed business day only (overwritten each run); full daily trend lives in 'Shopify Daily Data'. Source: Shopify ShopifyQL sales + inventory reports.</t>
        </is>
      </c>
    </row>
  </sheetData>
  <autoFilter ref="A2:F17"/>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
  <sheetViews>
    <sheetView workbookViewId="0">
      <pane ySplit="2" topLeftCell="A3" activePane="bottomLeft" state="frozen"/>
      <selection pane="bottomLeft" activeCell="A1" sqref="A1"/>
    </sheetView>
  </sheetViews>
  <sheetFormatPr baseColWidth="8" defaultRowHeight="15"/>
  <cols>
    <col width="26" customWidth="1" min="1" max="1"/>
    <col width="10" customWidth="1" min="2" max="2"/>
    <col width="12" customWidth="1" min="3" max="3"/>
    <col width="13" customWidth="1" min="4" max="4"/>
    <col width="9" customWidth="1" min="5" max="5"/>
    <col width="9" customWidth="1" min="6" max="6"/>
    <col width="10" customWidth="1" min="7" max="7"/>
    <col width="11" customWidth="1" min="8" max="8"/>
    <col width="16" customWidth="1" min="9" max="9"/>
    <col width="8" customWidth="1" min="10" max="10"/>
  </cols>
  <sheetData>
    <row r="1" ht="22" customHeight="1">
      <c r="A1" s="18" t="inlineStr">
        <is>
          <t>CAMPAIGN PERFORMANCE — Snapshot for 2026-07-17 (updated each run)</t>
        </is>
      </c>
    </row>
    <row r="2" ht="20" customHeight="1">
      <c r="A2" s="16" t="inlineStr">
        <is>
          <t>Campaign</t>
        </is>
      </c>
      <c r="B2" s="16" t="inlineStr">
        <is>
          <t>Status</t>
        </is>
      </c>
      <c r="C2" s="16" t="inlineStr">
        <is>
          <t>Spend</t>
        </is>
      </c>
      <c r="D2" s="16" t="inlineStr">
        <is>
          <t>Impressions</t>
        </is>
      </c>
      <c r="E2" s="16" t="inlineStr">
        <is>
          <t>Clicks</t>
        </is>
      </c>
      <c r="F2" s="16" t="inlineStr">
        <is>
          <t>CTR</t>
        </is>
      </c>
      <c r="G2" s="16" t="inlineStr">
        <is>
          <t>CPC</t>
        </is>
      </c>
      <c r="H2" s="16" t="inlineStr">
        <is>
          <t>Purchases</t>
        </is>
      </c>
      <c r="I2" s="16" t="inlineStr">
        <is>
          <t>Cost per Purchase</t>
        </is>
      </c>
      <c r="J2" s="16" t="inlineStr">
        <is>
          <t>ROAS</t>
        </is>
      </c>
    </row>
    <row r="3">
      <c r="A3" s="6" t="inlineStr">
        <is>
          <t>Black DHURANDHAR</t>
        </is>
      </c>
      <c r="B3" s="6" t="inlineStr">
        <is>
          <t>Active</t>
        </is>
      </c>
      <c r="C3" s="11" t="n">
        <v>8083.58</v>
      </c>
      <c r="D3" s="9" t="n">
        <v>58243</v>
      </c>
      <c r="E3" s="9" t="n">
        <v>2113</v>
      </c>
      <c r="F3" s="10">
        <f>E3/D3</f>
        <v/>
      </c>
      <c r="G3" s="11">
        <f>C3/E3</f>
        <v/>
      </c>
      <c r="H3" s="9" t="n">
        <v>15</v>
      </c>
      <c r="I3" s="11">
        <f>C3/H3</f>
        <v/>
      </c>
      <c r="J3" s="12" t="n">
        <v>5.03</v>
      </c>
    </row>
    <row r="4">
      <c r="A4" s="6" t="inlineStr">
        <is>
          <t>Dhirai Scale -ASC</t>
        </is>
      </c>
      <c r="B4" s="6" t="inlineStr">
        <is>
          <t>Active</t>
        </is>
      </c>
      <c r="C4" s="11" t="n">
        <v>13935.16</v>
      </c>
      <c r="D4" s="9" t="n">
        <v>84560</v>
      </c>
      <c r="E4" s="9" t="n">
        <v>2703</v>
      </c>
      <c r="F4" s="10">
        <f>E4/D4</f>
        <v/>
      </c>
      <c r="G4" s="11">
        <f>C4/E4</f>
        <v/>
      </c>
      <c r="H4" s="9" t="n">
        <v>27</v>
      </c>
      <c r="I4" s="11">
        <f>C4/H4</f>
        <v/>
      </c>
      <c r="J4" s="12" t="n">
        <v>4.5</v>
      </c>
    </row>
    <row r="5">
      <c r="A5" s="6" t="inlineStr">
        <is>
          <t>Retargeting- new</t>
        </is>
      </c>
      <c r="B5" s="6" t="inlineStr">
        <is>
          <t>Active</t>
        </is>
      </c>
      <c r="C5" s="11" t="n">
        <v>8242.68</v>
      </c>
      <c r="D5" s="9" t="n">
        <v>26215</v>
      </c>
      <c r="E5" s="9" t="n">
        <v>928</v>
      </c>
      <c r="F5" s="10">
        <f>E5/D5</f>
        <v/>
      </c>
      <c r="G5" s="11">
        <f>C5/E5</f>
        <v/>
      </c>
      <c r="H5" s="9" t="n">
        <v>14</v>
      </c>
      <c r="I5" s="11">
        <f>C5/H5</f>
        <v/>
      </c>
      <c r="J5" s="12" t="n">
        <v>4.44</v>
      </c>
    </row>
    <row r="6">
      <c r="A6" s="6" t="inlineStr">
        <is>
          <t>New Campaign- for recovery</t>
        </is>
      </c>
      <c r="B6" s="6" t="inlineStr">
        <is>
          <t>Active</t>
        </is>
      </c>
      <c r="C6" s="11" t="n">
        <v>14648.93</v>
      </c>
      <c r="D6" s="9" t="n">
        <v>171928</v>
      </c>
      <c r="E6" s="9" t="n">
        <v>1881</v>
      </c>
      <c r="F6" s="10">
        <f>E6/D6</f>
        <v/>
      </c>
      <c r="G6" s="11">
        <f>C6/E6</f>
        <v/>
      </c>
      <c r="H6" s="9" t="n">
        <v>17</v>
      </c>
      <c r="I6" s="11">
        <f>C6/H6</f>
        <v/>
      </c>
      <c r="J6" s="12" t="n">
        <v>2.91</v>
      </c>
    </row>
    <row r="8">
      <c r="A8" s="17" t="inlineStr">
        <is>
          <t>All 4 active campaigns shown (ad account matched to Shopify store 'Dhirai' by name, ID 979830497515712). Snapshot reflects the most recently reviewed day only; full daily trend lives in 'Meta Ads Daily Data'. Ad-set/ad level breakdown was not queryable this run — see Recommendations &amp; Notes.</t>
        </is>
      </c>
    </row>
  </sheetData>
  <autoFilter ref="A2:J6"/>
  <mergeCells count="1">
    <mergeCell ref="A1:J1"/>
  </mergeCells>
  <conditionalFormatting sqref="J3:J6">
    <cfRule type="cellIs" priority="1" operator="lessThan" dxfId="1">
      <formula>2</formula>
    </cfRule>
    <cfRule type="cellIs" priority="2" operator="between" dxfId="2">
      <formula>2</formula>
      <formula>3.5</formula>
    </cfRule>
    <cfRule type="cellIs" priority="3" operator="greaterThan" dxfId="0">
      <formula>3.5</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0"/>
  <sheetViews>
    <sheetView workbookViewId="0">
      <pane ySplit="3" topLeftCell="A4" activePane="bottomLeft" state="frozen"/>
      <selection pane="bottomLeft" activeCell="A1" sqref="A1"/>
    </sheetView>
  </sheetViews>
  <sheetFormatPr baseColWidth="8" defaultRowHeight="15"/>
  <cols>
    <col width="3" customWidth="1" min="1" max="1"/>
    <col width="100" customWidth="1" min="2" max="2"/>
  </cols>
  <sheetData>
    <row r="1" ht="24" customHeight="1">
      <c r="A1" s="19" t="inlineStr">
        <is>
          <t>RECOMMENDATIONS &amp; NOTES</t>
        </is>
      </c>
    </row>
    <row r="2" ht="30" customHeight="1"/>
    <row r="3" ht="30" customHeight="1">
      <c r="A3" s="20" t="inlineStr">
        <is>
          <t>── 2026-07-17 ──</t>
        </is>
      </c>
    </row>
    <row r="4" ht="30" customHeight="1">
      <c r="A4" s="21" t="inlineStr">
        <is>
          <t>KEY WINS</t>
        </is>
      </c>
    </row>
    <row r="5" ht="30" customHeight="1">
      <c r="A5" t="inlineStr">
        <is>
          <t>✅</t>
        </is>
      </c>
      <c r="B5" s="22" t="inlineStr">
        <is>
          <t>Revenue up 14.8% vs 7-day avg (₹1,88,169 vs ₹1,63,941 avg) with orders up 18.5% (74 vs 62.4 avg).</t>
        </is>
      </c>
    </row>
    <row r="6" ht="30" customHeight="1">
      <c r="A6" t="inlineStr">
        <is>
          <t>✅</t>
        </is>
      </c>
      <c r="B6" s="22" t="inlineStr">
        <is>
          <t>Meta Ads efficiency improved: CPC down ~24% (₹5.89 vs ₹7.76 avg), cost/purchase down ~16% (₹615 vs ₹730 avg), blended ROAS up to 4.06x from a 3.62x avg (+12%).</t>
        </is>
      </c>
    </row>
    <row r="7" ht="30" customHeight="1">
      <c r="A7" t="inlineStr">
        <is>
          <t>✅</t>
        </is>
      </c>
      <c r="B7" s="22" t="inlineStr">
        <is>
          <t>"Black DHURANDHAR" campaign jumped to a 5.03x ROAS (best of all 4 campaigns) from a 7-day average of 3.08x.</t>
        </is>
      </c>
    </row>
    <row r="8" ht="30" customHeight="1">
      <c r="A8" t="inlineStr">
        <is>
          <t>✅</t>
        </is>
      </c>
      <c r="B8" s="22" t="inlineStr">
        <is>
          <t>"Ira Rayon Co-ord Set" was the top seller (₹44,982 gross, 18 units) — consistently a top-3 performer.</t>
        </is>
      </c>
    </row>
    <row r="9" ht="30" customHeight="1"/>
    <row r="10" ht="30" customHeight="1">
      <c r="A10" s="21" t="inlineStr">
        <is>
          <t>KEY ISSUES</t>
        </is>
      </c>
    </row>
    <row r="11" ht="30" customHeight="1">
      <c r="A11" t="inlineStr">
        <is>
          <t>⚠️</t>
        </is>
      </c>
      <c r="B11" s="22" t="inlineStr">
        <is>
          <t>"New Campaign- for recovery" is the weakest performer: ROAS only 2.91x and lowest CTR at 1.09% (vs 3.2-3.6% on other campaigns); CPC ₹7.79 is the highest of the 4.</t>
        </is>
      </c>
    </row>
    <row r="12" ht="30" customHeight="1">
      <c r="A12" t="inlineStr">
        <is>
          <t>⚠️</t>
        </is>
      </c>
      <c r="B12" s="22" t="inlineStr">
        <is>
          <t>Ad set "Black and multiple" flagged by Meta for a narrow audience (est. reach 22,700-26,700) while actively delivering — may be limiting scale and inflating costs.</t>
        </is>
      </c>
    </row>
    <row r="13" ht="30" customHeight="1">
      <c r="A13" t="inlineStr">
        <is>
          <t>⚠️</t>
        </is>
      </c>
      <c r="B13" s="22" t="inlineStr">
        <is>
          <t>25+ product variants show zero stock (notably the "Nritya" Anarkali Suit Set line across many sizes/colors and "Zariya" Stone Hoops) — risk of wasted ad clicks landing on sold-out items.</t>
        </is>
      </c>
    </row>
    <row r="14" ht="30" customHeight="1">
      <c r="A14" t="inlineStr">
        <is>
          <t>⚠️</t>
        </is>
      </c>
      <c r="B14" s="22" t="inlineStr">
        <is>
          <t>AOV dipped 2.95% vs 7-day avg (₹2,490.78 vs ₹2,566.55) despite higher order volume — mix shifted slightly toward lower-priced items.</t>
        </is>
      </c>
    </row>
    <row r="15" ht="30" customHeight="1"/>
    <row r="16" ht="30" customHeight="1">
      <c r="A16" s="21" t="inlineStr">
        <is>
          <t>RECOMMENDED ACTIONS FOR TODAY</t>
        </is>
      </c>
    </row>
    <row r="17" ht="30" customHeight="1">
      <c r="A17" t="inlineStr">
        <is>
          <t>1</t>
        </is>
      </c>
      <c r="B17" s="22" t="inlineStr">
        <is>
          <t>Scale budget on "Black DHURANDHAR" (5.03x ROAS, 3.63% CTR); reallocate some spend from "New Campaign- for recovery" (2.91x ROAS) until it improves.</t>
        </is>
      </c>
    </row>
    <row r="18" ht="30" customHeight="1">
      <c r="A18" t="inlineStr">
        <is>
          <t>2</t>
        </is>
      </c>
      <c r="B18" s="22" t="inlineStr">
        <is>
          <t>Enable Advantage+ Audience on "Retargeting- new" and "Black and multiple" ad sets — Meta estimates ~11% lower cost per purchase.</t>
        </is>
      </c>
    </row>
    <row r="19" ht="30" customHeight="1">
      <c r="A19" t="inlineStr">
        <is>
          <t>3</t>
        </is>
      </c>
      <c r="B19" s="22" t="inlineStr">
        <is>
          <t>Restock or temporarily unpublish the out-of-stock "Nritya" Anarkali Suit Set variants and "Zariya" Stone Hoops to stop paid traffic from hitting sold-out pages.</t>
        </is>
      </c>
    </row>
    <row r="20" ht="30" customHeight="1">
      <c r="A20" t="inlineStr">
        <is>
          <t>4</t>
        </is>
      </c>
      <c r="B20" s="22" t="inlineStr">
        <is>
          <t>Consolidate the fragmented ad sets inside "New Campaign- for recovery" per Meta's fragmentation warning (est. +6 pt opportunity score, more sales at the same spend).</t>
        </is>
      </c>
    </row>
    <row r="21" ht="30" customHeight="1">
      <c r="A21" t="inlineStr">
        <is>
          <t>5</t>
        </is>
      </c>
      <c r="B21" s="22" t="inlineStr">
        <is>
          <t>Verify Shopify's abandoned-checkout recovery email flow is active — could not be measured this run (see Unavailable Metrics below).</t>
        </is>
      </c>
    </row>
    <row r="22" ht="30" customHeight="1"/>
    <row r="23" ht="30" customHeight="1">
      <c r="A23" s="21" t="inlineStr">
        <is>
          <t>UNAVAILABLE METRICS / DATA NOTES</t>
        </is>
      </c>
    </row>
    <row r="24" ht="30" customHeight="1">
      <c r="A24" t="inlineStr">
        <is>
          <t>ℹ️</t>
        </is>
      </c>
      <c r="B24" s="22" t="inlineStr">
        <is>
          <t>Google Sheets was not connected this session, so this dashboard was delivered as an Excel (.xlsx) workbook attached to the summary email instead of a Google Sheet link.</t>
        </is>
      </c>
    </row>
    <row r="25" ht="30" customHeight="1">
      <c r="A25" t="inlineStr">
        <is>
          <t>ℹ️</t>
        </is>
      </c>
      <c r="B25" s="22" t="inlineStr">
        <is>
          <t>Failed payments: not exposed by the Shopify tools available this run.</t>
        </is>
      </c>
    </row>
    <row r="26" ht="30" customHeight="1">
      <c r="A26" t="inlineStr">
        <is>
          <t>ℹ️</t>
        </is>
      </c>
      <c r="B26" s="22" t="inlineStr">
        <is>
          <t>Abandoned checkouts: not exposed by the Shopify analytics/order tools available this run.</t>
        </is>
      </c>
    </row>
    <row r="27" ht="30" customHeight="1">
      <c r="A27" t="inlineStr">
        <is>
          <t>ℹ️</t>
        </is>
      </c>
      <c r="B27" s="22" t="inlineStr">
        <is>
          <t>Cancellations: no distinct cancelled-order count was queryable this run; the 74 orders on 2026-07-17 showed only Pending/Paid financial statuses in the sample reviewed.</t>
        </is>
      </c>
    </row>
    <row r="28" ht="30" customHeight="1">
      <c r="A28" t="inlineStr">
        <is>
          <t>ℹ️</t>
        </is>
      </c>
      <c r="B28" s="22" t="inlineStr">
        <is>
          <t>Meta ad-set and ad-level cost/CPA breakdown: campaign-level data, an audience-size anomaly signal, and account Opportunity Score were captured; extended ad-set metrics (cost_per_omni_purchase, conversions) returned field-validation errors and were omitted.</t>
        </is>
      </c>
    </row>
    <row r="29" ht="30" customHeight="1">
      <c r="A29" t="inlineStr">
        <is>
          <t>ℹ️</t>
        </is>
      </c>
      <c r="B29" s="22" t="inlineStr">
        <is>
          <t>Meta ad account: 'Dhirai' (ID 979830497515712) was matched to the Shopify store 'Dhirai' (36dhns-ed.myshopify.com) by name out of 45 accessible ad accounts — please confirm this is the correct account if it should differ.</t>
        </is>
      </c>
    </row>
    <row r="30" ht="30" customHeight="1">
      <c r="A30" t="inlineStr">
        <is>
          <t>ℹ️</t>
        </is>
      </c>
      <c r="B30" s="22" t="inlineStr">
        <is>
          <t>Dashboard formulas (INDEX/OFFSET/AVERAGE) use only standard, widely-supported Excel functions and were manually verified against the source data; live recalculation could not be run this session because the sandbox's LibreOffice could not load any file (even its own sample documents), so cells may show blank until you open the file in Excel or Google Sheets, which will calculate them automatically.</t>
        </is>
      </c>
    </row>
    <row r="31" ht="30" customHeight="1"/>
  </sheetData>
  <mergeCells count="6">
    <mergeCell ref="A4:B4"/>
    <mergeCell ref="A16:B16"/>
    <mergeCell ref="A10:B10"/>
    <mergeCell ref="A1:B1"/>
    <mergeCell ref="A23:B23"/>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2026-07-18T18:05:33Z</dcterms:created>
  <dcterms:modified xsi:type="dcterms:W3CDTF">2026-07-18T18:05:33Z</dcterms:modified>
</cp:coreProperties>
</file>